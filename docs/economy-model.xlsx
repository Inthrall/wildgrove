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ssumptions" sheetId="1" state="visible" r:id="rId1"/>
    <sheet name="Run Timeline" sheetId="2" state="visible" r:id="rId2"/>
    <sheet name="ECO-2 Renown" sheetId="3" state="visible" r:id="rId3"/>
    <sheet name="SinkLadder" sheetId="4" state="visible" r:id="rId4"/>
    <sheet name="Offline Check" sheetId="5" state="visible" r:id="rId5"/>
    <sheet name="Findings" sheetId="6" state="visible" r:id="rId6"/>
    <sheet name="JSON Tuning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\x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EFEFE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00DCE6F1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2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2" fontId="8" fillId="3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2" fontId="8" fillId="3" borderId="0" applyAlignment="1" pivotButton="0" quotePrefix="0" xfId="0">
      <alignment horizontal="general" vertical="bottom"/>
    </xf>
    <xf numFmtId="0" fontId="11" fillId="0" borderId="0" pivotButton="0" quotePrefix="0" xfId="0"/>
    <xf numFmtId="0" fontId="0" fillId="4" borderId="0" pivotButton="0" quotePrefix="0" xfId="0"/>
    <xf numFmtId="0" fontId="9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0" fontId="12" fillId="5" borderId="0" pivotButton="0" quotePrefix="0" xfId="0"/>
    <xf numFmtId="0" fontId="11" fillId="6" borderId="0" pivotButton="0" quotePrefix="0" xfId="0"/>
    <xf numFmtId="0" fontId="0" fillId="6" borderId="0" pivotButton="0" quotePrefix="0" xfId="0"/>
    <xf numFmtId="3" fontId="5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4" min="1" max="1"/>
    <col width="12" customWidth="1" style="24" min="2" max="2"/>
    <col width="78" customWidth="1" style="24" min="3" max="3"/>
  </cols>
  <sheetData>
    <row r="1" ht="16.15" customHeight="1" s="25">
      <c r="A1" s="26" t="inlineStr">
        <is>
          <t>Wildgrove v0.7 — Economy Seed Model (ECO-1)</t>
        </is>
      </c>
    </row>
    <row r="2" ht="25.5" customHeight="1" s="25">
      <c r="A2" s="27" t="inlineStr">
        <is>
          <t>Legend: BLUE cells = edit me (inputs/levers) · black = formulas · yellow fill = key tunables the doc references. All numbers are placeholders to be moved in balancing.</t>
        </is>
      </c>
    </row>
    <row r="4" ht="15" customHeight="1" s="25">
      <c r="A4" s="28" t="inlineStr">
        <is>
          <t>Gathering</t>
        </is>
      </c>
    </row>
    <row r="5" ht="15" customHeight="1" s="25">
      <c r="A5" s="29" t="inlineStr">
        <is>
          <t>g0 — base gather per agent per hour (tool tier 0)</t>
        </is>
      </c>
      <c r="B5" s="30" t="n">
        <v>120</v>
      </c>
      <c r="C5" s="27" t="inlineStr">
        <is>
          <t>Goods/hr. Doc §9: tuned UP from flock-era rates for a small crew.</t>
        </is>
      </c>
    </row>
    <row r="6" ht="15" customHeight="1" s="25">
      <c r="A6" s="29" t="inlineStr">
        <is>
          <t>Active uplift (Tending bursts, avg while playing)</t>
        </is>
      </c>
      <c r="B6" s="31" t="n">
        <v>1.2</v>
      </c>
      <c r="C6" s="27" t="inlineStr">
        <is>
          <t>Multiplier on active hours only.</t>
        </is>
      </c>
    </row>
    <row r="7" ht="15" customHeight="1" s="25">
      <c r="A7" s="28" t="inlineStr">
        <is>
          <t>Renown &amp; prestige</t>
        </is>
      </c>
    </row>
    <row r="8" ht="15" customHeight="1" s="25">
      <c r="A8" s="29" t="inlineStr">
        <is>
          <t>Renown factor — Renown per good handled</t>
        </is>
      </c>
      <c r="B8" s="31" t="n">
        <v>1.2</v>
      </c>
      <c r="C8" s="27" t="inlineStr">
        <is>
          <t>Warden craft XP + familiar XP per good, blended. Renown/hr = yield/hr x this.</t>
        </is>
      </c>
    </row>
    <row r="9" ht="15" customHeight="1" s="25">
      <c r="A9" s="29" t="inlineStr">
        <is>
          <t>Offering credit total, run 1 (trade value)</t>
        </is>
      </c>
      <c r="B9" s="32" t="n">
        <v>4000</v>
      </c>
      <c r="C9" s="27" t="inlineStr">
        <is>
          <t>Sum of chosen verse slots across 4 verses; authored in rites.json later. Credited at fold row.</t>
        </is>
      </c>
    </row>
    <row r="10" ht="15" customHeight="1" s="25">
      <c r="A10" s="29" t="inlineStr">
        <is>
          <t>Verdure target at first fold</t>
        </is>
      </c>
      <c r="B10" s="30" t="n">
        <v>10</v>
      </c>
      <c r="C10" s="27" t="inlineStr">
        <is>
          <t>Doc pacing target: ~10 Verdure, Day 1-2.</t>
        </is>
      </c>
    </row>
    <row r="11" ht="15" customHeight="1" s="25">
      <c r="A11" s="29" t="inlineStr">
        <is>
          <t>Familiar XP per hour at post (postMatch=1)</t>
        </is>
      </c>
      <c r="B11" s="32" t="n">
        <v>250</v>
      </c>
      <c r="C11" s="27" t="inlineStr">
        <is>
          <t>famXP/sec x 3600, level-agnostic average.</t>
        </is>
      </c>
    </row>
    <row r="12" ht="15" customHeight="1" s="25">
      <c r="A12" s="29" t="inlineStr">
        <is>
          <t>Kinship target for Gatherer 1 at first fold</t>
        </is>
      </c>
      <c r="B12" s="30" t="n">
        <v>2</v>
      </c>
      <c r="C12" s="27" t="inlineStr">
        <is>
          <t>First fold should visibly bank Kinship without trivialising it.</t>
        </is>
      </c>
    </row>
    <row r="13" ht="15" customHeight="1" s="25">
      <c r="A13" s="28" t="inlineStr">
        <is>
          <t>Sinks</t>
        </is>
      </c>
    </row>
    <row r="14" ht="15" customHeight="1" s="25">
      <c r="A14" s="29" t="inlineStr">
        <is>
          <t>Sink share — income available to discretionary sinks</t>
        </is>
      </c>
      <c r="B14" s="33" t="n">
        <v>0.5</v>
      </c>
      <c r="C14" s="27" t="inlineStr">
        <is>
          <t>Rest feeds offerings, kit, and consumption. Hour-six proof uses this.</t>
        </is>
      </c>
    </row>
    <row r="15" ht="15" customHeight="1" s="25">
      <c r="A15" s="29" t="inlineStr">
        <is>
          <t>Replant base cost (node's own resource)</t>
        </is>
      </c>
      <c r="B15" s="32" t="n">
        <v>25</v>
      </c>
      <c r="C15" s="27" t="inlineStr">
        <is>
          <t>replantCost = base x r^L</t>
        </is>
      </c>
    </row>
    <row r="16" ht="15" customHeight="1" s="25">
      <c r="A16" s="29" t="inlineStr">
        <is>
          <t>Replant ratio r</t>
        </is>
      </c>
      <c r="B16" s="31" t="n">
        <v>1.35</v>
      </c>
      <c r="C16" s="27" t="n"/>
    </row>
    <row r="17" ht="15" customHeight="1" s="25">
      <c r="A17" s="29" t="inlineStr">
        <is>
          <t>Building bundle base (goods value)</t>
        </is>
      </c>
      <c r="B17" s="32" t="n">
        <v>250</v>
      </c>
      <c r="C17" s="27" t="inlineStr">
        <is>
          <t>buildingCost(L) = base x 1.25^L, paid in materials.</t>
        </is>
      </c>
    </row>
    <row r="18" ht="15" customHeight="1" s="25">
      <c r="A18" s="29" t="inlineStr">
        <is>
          <t>Building ratio</t>
        </is>
      </c>
      <c r="B18" s="31" t="n">
        <v>1.25</v>
      </c>
      <c r="C18" s="27" t="n"/>
    </row>
    <row r="19" ht="15" customHeight="1" s="25">
      <c r="A19" s="29" t="inlineStr">
        <is>
          <t>Provisions — Zone 2 bundle value</t>
        </is>
      </c>
      <c r="B19" s="32" t="n">
        <v>80</v>
      </c>
      <c r="C19" s="27" t="inlineStr">
        <is>
          <t>Trail Map bundles, authored per zone.</t>
        </is>
      </c>
    </row>
    <row r="20" ht="15" customHeight="1" s="25">
      <c r="A20" s="29" t="inlineStr">
        <is>
          <t>Provisions — Zone 3 bundle value</t>
        </is>
      </c>
      <c r="B20" s="32" t="n">
        <v>300</v>
      </c>
      <c r="C20" s="27" t="n"/>
    </row>
    <row r="21" ht="15" customHeight="1" s="25">
      <c r="A21" s="29" t="inlineStr">
        <is>
          <t>Provisions — Zone 4 bundle value</t>
        </is>
      </c>
      <c r="B21" s="32" t="n">
        <v>900</v>
      </c>
      <c r="C21" s="27" t="n"/>
    </row>
    <row r="22" ht="15" customHeight="1" s="25">
      <c r="A22" s="29" t="inlineStr">
        <is>
          <t>Tool batch value — copper</t>
        </is>
      </c>
      <c r="B22" s="32" t="n">
        <v>60</v>
      </c>
      <c r="C22" s="27" t="inlineStr">
        <is>
          <t>Ingot batch trade value (5 ingots).</t>
        </is>
      </c>
    </row>
    <row r="23" ht="15" customHeight="1" s="25">
      <c r="A23" s="29" t="inlineStr">
        <is>
          <t>Tool batch value — bronze</t>
        </is>
      </c>
      <c r="B23" s="32" t="n">
        <v>140</v>
      </c>
      <c r="C23" s="27" t="n"/>
    </row>
    <row r="24" ht="15" customHeight="1" s="25">
      <c r="A24" s="29" t="inlineStr">
        <is>
          <t>Tool batch value — iron</t>
        </is>
      </c>
      <c r="B24" s="32" t="n">
        <v>320</v>
      </c>
      <c r="C24" s="27" t="n"/>
    </row>
    <row r="25" ht="15" customHeight="1" s="25">
      <c r="A25" s="29" t="inlineStr">
        <is>
          <t>Planter — frame / bed / trellis values</t>
        </is>
      </c>
      <c r="B25" s="32" t="n">
        <v>120</v>
      </c>
      <c r="C25" s="27" t="inlineStr">
        <is>
          <t>Frame. Bed=180, trellis=260 on SinkLadder.</t>
        </is>
      </c>
    </row>
    <row r="26" ht="15" customHeight="1" s="25">
      <c r="A26" s="29" t="inlineStr">
        <is>
          <t>Meaningful-purchase band — low (minutes)</t>
        </is>
      </c>
      <c r="B26" s="32" t="n">
        <v>10</v>
      </c>
      <c r="C26" s="27" t="inlineStr">
        <is>
          <t>Cheaper than this = trivial; not by itself 'meaningful'.</t>
        </is>
      </c>
    </row>
    <row r="27" ht="15" customHeight="1" s="25">
      <c r="A27" s="29" t="inlineStr">
        <is>
          <t>Meaningful-purchase band — high (minutes)</t>
        </is>
      </c>
      <c r="B27" s="32" t="n">
        <v>90</v>
      </c>
      <c r="C27" s="27" t="inlineStr">
        <is>
          <t>Dearer than this with nothing else in band = a wall.</t>
        </is>
      </c>
    </row>
    <row r="28" ht="15" customHeight="1" s="25">
      <c r="A28" s="28" t="inlineStr">
        <is>
          <t>Offline &amp; the trail post (SP-1: balanced for eventual 2 posts; wanderers cover an unheld trail at x0.5)</t>
        </is>
      </c>
    </row>
    <row r="29" ht="15" customHeight="1" s="25">
      <c r="A29" s="29" t="inlineStr">
        <is>
          <t>Evening tool multiplier (end of Day 1)</t>
        </is>
      </c>
      <c r="B29" s="32" t="n">
        <v>4</v>
      </c>
      <c r="C29" s="27" t="inlineStr">
        <is>
          <t>Flint+copper by bedtime.</t>
        </is>
      </c>
    </row>
    <row r="30" ht="15" customHeight="1" s="25">
      <c r="A30" s="29" t="inlineStr">
        <is>
          <t>Evening richness multiplier</t>
        </is>
      </c>
      <c r="B30" s="31" t="n">
        <v>1.3</v>
      </c>
      <c r="C30" s="27" t="n"/>
    </row>
    <row r="31" ht="32.8" customHeight="1" s="25">
      <c r="A31" s="29" t="inlineStr">
        <is>
          <t>Trail post factor — share of 4 ground-gatherers' demand one post hauls</t>
        </is>
      </c>
      <c r="B31" s="31" t="n">
        <v>0.75</v>
      </c>
      <c r="C31" s="27" t="inlineStr">
        <is>
          <t>DECIDED stance: one held post slightly under-hauls a full ground crew at like tier; Spare Wing (2nd post) relieves it. Hauling equipment assumes 2 posts eventually exist. Unheld trail: wanderers move x0.5 of one post.</t>
        </is>
      </c>
    </row>
    <row r="32" ht="15" customHeight="1" s="25">
      <c r="A32" s="29" t="inlineStr">
        <is>
          <t>Offline cap — base / Store L1 / Store L2 (hours)</t>
        </is>
      </c>
      <c r="B32" s="32" t="n">
        <v>4</v>
      </c>
      <c r="C32" s="27" t="inlineStr">
        <is>
          <t>6 and 8 used on Offline sheet.</t>
        </is>
      </c>
    </row>
    <row r="34">
      <c r="A34" s="34" t="inlineStr">
        <is>
          <t>--- Balance pass 2026-07-22: real sim constants (design/data/economy.json) ---</t>
        </is>
      </c>
      <c r="C34" s="24" t="inlineStr">
        <is>
          <t>ECO-1 above uses abstract goods/hr. These are the SHIPPING constants ECO-2 Renown reconciles against.</t>
        </is>
      </c>
    </row>
    <row r="35">
      <c r="A35" s="24" t="inlineStr">
        <is>
          <t>Warden Renown per good (xp.gatherPerUnit)</t>
        </is>
      </c>
      <c r="B35" s="35" t="n">
        <v>3</v>
      </c>
      <c r="C35" s="24" t="inlineStr">
        <is>
          <t>APPLIED 2026-07-22: raised 1 -&gt; 3 so gathering pulls even with familiar XP as a Renown source (Mo's call).</t>
        </is>
      </c>
    </row>
    <row r="36">
      <c r="A36" s="24" t="inlineStr">
        <is>
          <t>Familiar XP per second at post (familiarXp.xpPerSecond)</t>
        </is>
      </c>
      <c r="B36" s="35" t="n">
        <v>1</v>
      </c>
      <c r="C36" s="24" t="inlineStr">
        <is>
          <t>Each stationed familiar; wanderer x0.5. Credited 1:1 to Renown (Familiars.AddPostXp).</t>
        </is>
      </c>
    </row>
    <row r="37">
      <c r="A37" s="24">
        <f>&gt; Familiar Renown per hour per familiar</f>
        <v/>
      </c>
      <c r="B37" s="24">
        <f>B36*3600</f>
        <v/>
      </c>
      <c r="C37" s="24" t="inlineStr">
        <is>
          <t>Time-based, independent of yield - the term ECO-1 omitted.</t>
        </is>
      </c>
    </row>
    <row r="38">
      <c r="A38" s="24" t="inlineStr">
        <is>
          <t>Familiars stationed, run 1 (gatherers + trail carrier)</t>
        </is>
      </c>
      <c r="B38" s="35" t="n">
        <v>3</v>
      </c>
      <c r="C38" s="24" t="inlineStr">
        <is>
          <t>2 at start (vole+raven), 3 after the gift event (~H2). Bonds not assumed in run 1.</t>
        </is>
      </c>
    </row>
    <row r="39">
      <c r="A39" s="24" t="inlineStr">
        <is>
          <t>Verdure renownDivisor (APPLIED)</t>
        </is>
      </c>
      <c r="B39" s="35" t="n">
        <v>2800</v>
      </c>
      <c r="C39" s="24" t="inlineStr">
        <is>
          <t>APPLIED 2026-07-22: 5000 -&gt; 2800 so Verdure banks ~10 at first fold once Renown rose with gatherPerUnit=3.</t>
        </is>
      </c>
    </row>
    <row r="40">
      <c r="A40" s="24" t="inlineStr">
        <is>
          <t>Kinship kinshipDivisor (APPLIED)</t>
        </is>
      </c>
      <c r="B40" s="35" t="n">
        <v>12000</v>
      </c>
      <c r="C40" s="24" t="inlineStr">
        <is>
          <t>APPLIED 2026-07-22: 1000 -&gt; 12000 so a full-run familiar banks ~2 Kinship (was ~7).</t>
        </is>
      </c>
    </row>
    <row r="41">
      <c r="A41" s="24" t="inlineStr">
        <is>
          <t>Offline cap hours used for fold XP</t>
        </is>
      </c>
      <c r="B41" s="35" t="n">
        <v>6</v>
      </c>
      <c r="C41" s="24" t="inlineStr">
        <is>
          <t>Store L1 cap; familiars earn XP offline up to the cap.</t>
        </is>
      </c>
    </row>
    <row r="42">
      <c r="A42" s="24" t="inlineStr">
        <is>
          <t>Replant ratio r (SHIPPING)</t>
        </is>
      </c>
      <c r="B42" s="35" t="n">
        <v>1.5</v>
      </c>
      <c r="C42" s="24" t="inlineStr">
        <is>
          <t>replant.growth is ALREADY 1.5 (matches Finding #1). Sheet A16=1.35 is stale.</t>
        </is>
      </c>
    </row>
  </sheetData>
  <mergeCells count="5">
    <mergeCell ref="A28:C28"/>
    <mergeCell ref="A13:C13"/>
    <mergeCell ref="A7:C7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" customWidth="1" style="24" min="2" max="2"/>
    <col width="10" customWidth="1" style="24" min="3" max="3"/>
    <col width="11" customWidth="1" style="24" min="4" max="6"/>
    <col width="12" customWidth="1" style="24" min="7" max="7"/>
    <col width="13" customWidth="1" style="24" min="8" max="9"/>
    <col width="14" customWidth="1" style="24" min="10" max="10"/>
    <col width="30" customWidth="1" style="24" min="11" max="11"/>
  </cols>
  <sheetData>
    <row r="1" ht="16.15" customHeight="1" s="25">
      <c r="A1" s="26" t="inlineStr">
        <is>
          <t>Run 1 timeline — 8 active-hour blocks across Day 1–2 (overnight between H3 and H4)</t>
        </is>
      </c>
    </row>
    <row r="3" ht="15" customHeight="1" s="25">
      <c r="A3" s="36" t="inlineStr">
        <is>
          <t>Hour</t>
        </is>
      </c>
      <c r="B3" s="36" t="inlineStr">
        <is>
          <t>Agents</t>
        </is>
      </c>
      <c r="C3" s="36" t="inlineStr">
        <is>
          <t>Tool mult</t>
        </is>
      </c>
      <c r="D3" s="36" t="inlineStr">
        <is>
          <t>Richness lvl</t>
        </is>
      </c>
      <c r="E3" s="36" t="inlineStr">
        <is>
          <t>Richness mult</t>
        </is>
      </c>
      <c r="F3" s="36" t="inlineStr">
        <is>
          <t>Planter mult</t>
        </is>
      </c>
      <c r="G3" s="36" t="inlineStr">
        <is>
          <t>Yield / hr</t>
        </is>
      </c>
      <c r="H3" s="36" t="inlineStr">
        <is>
          <t>Cum goods</t>
        </is>
      </c>
      <c r="I3" s="36" t="inlineStr">
        <is>
          <t>Renown / hr</t>
        </is>
      </c>
      <c r="J3" s="36" t="inlineStr">
        <is>
          <t>Cum Renown</t>
        </is>
      </c>
      <c r="K3" s="36" t="inlineStr">
        <is>
          <t>Notes</t>
        </is>
      </c>
    </row>
    <row r="4" ht="22.35" customHeight="1" s="25">
      <c r="A4" s="29" t="inlineStr">
        <is>
          <t>H1 (Day 1)</t>
        </is>
      </c>
      <c r="B4" s="37" t="n">
        <v>2</v>
      </c>
      <c r="C4" s="37" t="n">
        <v>2</v>
      </c>
      <c r="D4" s="37" t="n">
        <v>1</v>
      </c>
      <c r="E4" s="38">
        <f>1+0.1*D4</f>
        <v/>
      </c>
      <c r="F4" s="31" t="n">
        <v>1</v>
      </c>
      <c r="G4" s="39">
        <f>B4*Assumptions!$B$5*C4*E4*F4*Assumptions!$B$6</f>
        <v/>
      </c>
      <c r="H4" s="39">
        <f>G4</f>
        <v/>
      </c>
      <c r="I4" s="39">
        <f>G4*Assumptions!$B$8</f>
        <v/>
      </c>
      <c r="J4" s="39">
        <f>I4</f>
        <v/>
      </c>
      <c r="K4" s="27" t="inlineStr">
        <is>
          <t>Warden+G1; flint at ~4 min; Zone 2 map end of hour</t>
        </is>
      </c>
    </row>
    <row r="5" ht="22.35" customHeight="1" s="25">
      <c r="A5" s="29" t="inlineStr">
        <is>
          <t>H2</t>
        </is>
      </c>
      <c r="B5" s="37" t="n">
        <v>3</v>
      </c>
      <c r="C5" s="37" t="n">
        <v>3</v>
      </c>
      <c r="D5" s="37" t="n">
        <v>2</v>
      </c>
      <c r="E5" s="38">
        <f>1+0.1*D5</f>
        <v/>
      </c>
      <c r="F5" s="31" t="n">
        <v>1</v>
      </c>
      <c r="G5" s="39">
        <f>B5*Assumptions!$B$5*C5*E5*F5*Assumptions!$B$6</f>
        <v/>
      </c>
      <c r="H5" s="39">
        <f>H4+G5</f>
        <v/>
      </c>
      <c r="I5" s="39">
        <f>G5*Assumptions!$B$8</f>
        <v/>
      </c>
      <c r="J5" s="39">
        <f>J4+I5</f>
        <v/>
      </c>
      <c r="K5" s="27" t="inlineStr">
        <is>
          <t>Verse 1 done ~30 min in -&gt; gift event -&gt; G2; copper mid-hour; Zone 3 map</t>
        </is>
      </c>
    </row>
    <row r="6" ht="15" customHeight="1" s="25">
      <c r="A6" s="29" t="inlineStr">
        <is>
          <t>H3</t>
        </is>
      </c>
      <c r="B6" s="37" t="n">
        <v>3</v>
      </c>
      <c r="C6" s="37" t="n">
        <v>4</v>
      </c>
      <c r="D6" s="37" t="n">
        <v>3</v>
      </c>
      <c r="E6" s="38">
        <f>1+0.1*D6</f>
        <v/>
      </c>
      <c r="F6" s="31" t="n">
        <v>1.1</v>
      </c>
      <c r="G6" s="39">
        <f>B6*Assumptions!$B$5*C6*E6*F6*Assumptions!$B$6</f>
        <v/>
      </c>
      <c r="H6" s="39">
        <f>H5+G6</f>
        <v/>
      </c>
      <c r="I6" s="39">
        <f>G6*Assumptions!$B$8</f>
        <v/>
      </c>
      <c r="J6" s="39">
        <f>J5+I6</f>
        <v/>
      </c>
      <c r="K6" s="27" t="inlineStr">
        <is>
          <t>First planters; end of Day 1 session</t>
        </is>
      </c>
    </row>
    <row r="7" ht="15" customHeight="1" s="25">
      <c r="A7" s="29" t="inlineStr">
        <is>
          <t>H4 (Day 2)</t>
        </is>
      </c>
      <c r="B7" s="37" t="n">
        <v>3</v>
      </c>
      <c r="C7" s="37" t="n">
        <v>4</v>
      </c>
      <c r="D7" s="37" t="n">
        <v>4</v>
      </c>
      <c r="E7" s="38">
        <f>1+0.1*D7</f>
        <v/>
      </c>
      <c r="F7" s="31" t="n">
        <v>1.15</v>
      </c>
      <c r="G7" s="39">
        <f>B7*Assumptions!$B$5*C7*E7*F7*Assumptions!$B$6</f>
        <v/>
      </c>
      <c r="H7" s="39">
        <f>H6+G7</f>
        <v/>
      </c>
      <c r="I7" s="39">
        <f>G7*Assumptions!$B$8</f>
        <v/>
      </c>
      <c r="J7" s="39">
        <f>J6+I7</f>
        <v/>
      </c>
      <c r="K7" s="27" t="inlineStr">
        <is>
          <t>Post-overnight (see Offline sheet)</t>
        </is>
      </c>
    </row>
    <row r="8" ht="15" customHeight="1" s="25">
      <c r="A8" s="29" t="inlineStr">
        <is>
          <t>H5</t>
        </is>
      </c>
      <c r="B8" s="37" t="n">
        <v>3</v>
      </c>
      <c r="C8" s="37" t="n">
        <v>6</v>
      </c>
      <c r="D8" s="37" t="n">
        <v>5</v>
      </c>
      <c r="E8" s="38">
        <f>1+0.1*D8</f>
        <v/>
      </c>
      <c r="F8" s="31" t="n">
        <v>1.2</v>
      </c>
      <c r="G8" s="39">
        <f>B8*Assumptions!$B$5*C8*E8*F8*Assumptions!$B$6</f>
        <v/>
      </c>
      <c r="H8" s="39">
        <f>H7+G8</f>
        <v/>
      </c>
      <c r="I8" s="39">
        <f>G8*Assumptions!$B$8</f>
        <v/>
      </c>
      <c r="J8" s="39">
        <f>J7+I8</f>
        <v/>
      </c>
      <c r="K8" s="27" t="inlineStr">
        <is>
          <t>Bronze lands; Zone 4 map</t>
        </is>
      </c>
    </row>
    <row r="9" ht="22.35" customHeight="1" s="25">
      <c r="A9" s="40" t="inlineStr">
        <is>
          <t>H6</t>
        </is>
      </c>
      <c r="B9" s="37" t="n">
        <v>3</v>
      </c>
      <c r="C9" s="37" t="n">
        <v>6</v>
      </c>
      <c r="D9" s="37" t="n">
        <v>6</v>
      </c>
      <c r="E9" s="38">
        <f>1+0.1*D9</f>
        <v/>
      </c>
      <c r="F9" s="31" t="n">
        <v>1.25</v>
      </c>
      <c r="G9" s="39">
        <f>B9*Assumptions!$B$5*C9*E9*F9*Assumptions!$B$6</f>
        <v/>
      </c>
      <c r="H9" s="39">
        <f>H8+G9</f>
        <v/>
      </c>
      <c r="I9" s="39">
        <f>G9*Assumptions!$B$8</f>
        <v/>
      </c>
      <c r="J9" s="39">
        <f>J8+I9</f>
        <v/>
      </c>
      <c r="K9" s="27" t="inlineStr">
        <is>
          <t>THE HOUR-SIX PROOF ROW (SinkLadder)</t>
        </is>
      </c>
    </row>
    <row r="10" ht="15" customHeight="1" s="25">
      <c r="A10" s="29" t="inlineStr">
        <is>
          <t>H7</t>
        </is>
      </c>
      <c r="B10" s="37" t="n">
        <v>3</v>
      </c>
      <c r="C10" s="37" t="n">
        <v>8</v>
      </c>
      <c r="D10" s="37" t="n">
        <v>6</v>
      </c>
      <c r="E10" s="38">
        <f>1+0.1*D10</f>
        <v/>
      </c>
      <c r="F10" s="31" t="n">
        <v>1.3</v>
      </c>
      <c r="G10" s="39">
        <f>B10*Assumptions!$B$5*C10*E10*F10*Assumptions!$B$6</f>
        <v/>
      </c>
      <c r="H10" s="39">
        <f>H9+G10</f>
        <v/>
      </c>
      <c r="I10" s="39">
        <f>G10*Assumptions!$B$8</f>
        <v/>
      </c>
      <c r="J10" s="39">
        <f>J9+I10</f>
        <v/>
      </c>
      <c r="K10" s="27" t="inlineStr">
        <is>
          <t>Iron on some crafts</t>
        </is>
      </c>
    </row>
    <row r="11" ht="22.35" customHeight="1" s="25">
      <c r="A11" s="40" t="inlineStr">
        <is>
          <t>H8 (fold)</t>
        </is>
      </c>
      <c r="B11" s="37" t="n">
        <v>3</v>
      </c>
      <c r="C11" s="37" t="n">
        <v>8</v>
      </c>
      <c r="D11" s="37" t="n">
        <v>7</v>
      </c>
      <c r="E11" s="38">
        <f>1+0.1*D11</f>
        <v/>
      </c>
      <c r="F11" s="31" t="n">
        <v>1.3</v>
      </c>
      <c r="G11" s="39">
        <f>B11*Assumptions!$B$5*C11*E11*F11*Assumptions!$B$6</f>
        <v/>
      </c>
      <c r="H11" s="39">
        <f>H10+G11</f>
        <v/>
      </c>
      <c r="I11" s="39">
        <f>G11*Assumptions!$B$8</f>
        <v/>
      </c>
      <c r="J11" s="39">
        <f>J10+I11+Assumptions!$B$9</f>
        <v/>
      </c>
      <c r="K11" s="27" t="inlineStr">
        <is>
          <t>Rite completes; offering credit lands; Migration</t>
        </is>
      </c>
    </row>
    <row r="13" ht="15" customHeight="1" s="25">
      <c r="A13" s="41" t="inlineStr">
        <is>
          <t>Prestige solve (formulas — these SET the doc's constants)</t>
        </is>
      </c>
    </row>
    <row r="14" ht="15" customHeight="1" s="25">
      <c r="A14" s="29" t="inlineStr">
        <is>
          <t>Lifetime Renown at fold</t>
        </is>
      </c>
      <c r="B14" s="42">
        <f>J11</f>
        <v/>
      </c>
    </row>
    <row r="15" ht="15" customHeight="1" s="25">
      <c r="A15" s="29" t="inlineStr">
        <is>
          <t>K (Verdure) to hit target at fold</t>
        </is>
      </c>
      <c r="B15" s="43">
        <f>B14/Assumptions!$B$10^2</f>
        <v/>
      </c>
      <c r="C15" s="44" t="inlineStr">
        <is>
          <t>verdureGain = FLOOR(SQRT(Renown/K)) -&gt; K = Renown/target^2</t>
        </is>
      </c>
    </row>
    <row r="16" ht="15" customHeight="1" s="25">
      <c r="A16" s="29" t="inlineStr">
        <is>
          <t>G1 run familiar XP (stationed all 8 h + capped offline ~6 h at 40%)</t>
        </is>
      </c>
      <c r="B16" s="39">
        <f>Assumptions!$B$11*8+Assumptions!$B$11*6*0.4</f>
        <v/>
      </c>
    </row>
    <row r="17" ht="15" customHeight="1" s="25">
      <c r="A17" s="29" t="inlineStr">
        <is>
          <t>K_f (Kinship) to hit target for G1</t>
        </is>
      </c>
      <c r="B17" s="43">
        <f>B16/Assumptions!$B$12^2</f>
        <v/>
      </c>
    </row>
    <row r="18" ht="15" customHeight="1" s="25">
      <c r="A18" s="29" t="inlineStr">
        <is>
          <t>Check: Verdure at fold with solved K</t>
        </is>
      </c>
      <c r="B18" s="45">
        <f>FLOOR(SQRT(B14/B15),1)</f>
        <v/>
      </c>
    </row>
    <row r="19" ht="15" customHeight="1" s="25">
      <c r="A19" s="29" t="inlineStr">
        <is>
          <t>Check: G1 Kinship at fold with solved K_f</t>
        </is>
      </c>
      <c r="B19" s="45">
        <f>FLOOR(SQRT(B16/B17),1)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44" customWidth="1" style="25" min="1" max="1"/>
    <col width="14" customWidth="1" style="25" min="2" max="2"/>
    <col width="12" customWidth="1" style="25" min="3" max="3"/>
    <col width="11" customWidth="1" style="25" min="4" max="4"/>
    <col width="13" customWidth="1" style="25" min="5" max="5"/>
    <col width="11" customWidth="1" style="25" min="6" max="6"/>
    <col width="11" customWidth="1" style="25" min="7" max="7"/>
    <col width="13" customWidth="1" style="25" min="8" max="8"/>
    <col width="26" customWidth="1" style="25" min="9" max="9"/>
  </cols>
  <sheetData>
    <row r="1">
      <c r="A1" s="34" t="inlineStr">
        <is>
          <t>ECO-2 Renown reconciliation - Renown = warden gather XP + familiar time XP (+ offerings). Reuses ECO-1 yields.</t>
        </is>
      </c>
    </row>
    <row r="3">
      <c r="A3" s="46" t="inlineStr">
        <is>
          <t>Hour</t>
        </is>
      </c>
      <c r="B3" s="46" t="inlineStr">
        <is>
          <t>Agents</t>
        </is>
      </c>
      <c r="C3" s="46" t="inlineStr">
        <is>
          <t>Familiars</t>
        </is>
      </c>
      <c r="D3" s="46" t="inlineStr">
        <is>
          <t>Yield/hr</t>
        </is>
      </c>
      <c r="E3" s="46" t="inlineStr">
        <is>
          <t>WardenRen/hr</t>
        </is>
      </c>
      <c r="F3" s="46" t="inlineStr">
        <is>
          <t>FamRen/hr</t>
        </is>
      </c>
      <c r="G3" s="46" t="inlineStr">
        <is>
          <t>Renown/hr</t>
        </is>
      </c>
      <c r="H3" s="46" t="inlineStr">
        <is>
          <t>Cum Renown</t>
        </is>
      </c>
      <c r="I3" s="46" t="inlineStr">
        <is>
          <t>Notes</t>
        </is>
      </c>
    </row>
    <row r="4">
      <c r="A4" s="24">
        <f>'Run Timeline'!A4</f>
        <v/>
      </c>
      <c r="B4" s="24">
        <f>'Run Timeline'!B4</f>
        <v/>
      </c>
      <c r="C4" s="35" t="n">
        <v>2</v>
      </c>
      <c r="D4" s="24">
        <f>'Run Timeline'!G4</f>
        <v/>
      </c>
      <c r="E4" s="24">
        <f>D4*Assumptions!$B$35</f>
        <v/>
      </c>
      <c r="F4" s="24">
        <f>C4*Assumptions!$B$37</f>
        <v/>
      </c>
      <c r="G4" s="24">
        <f>E4+F4</f>
        <v/>
      </c>
      <c r="H4" s="24">
        <f>G4</f>
        <v/>
      </c>
      <c r="I4" s="24" t="inlineStr">
        <is>
          <t>Warden+G1</t>
        </is>
      </c>
    </row>
    <row r="5">
      <c r="A5" s="24">
        <f>'Run Timeline'!A5</f>
        <v/>
      </c>
      <c r="B5" s="24">
        <f>'Run Timeline'!B5</f>
        <v/>
      </c>
      <c r="C5" s="35" t="n">
        <v>3</v>
      </c>
      <c r="D5" s="24">
        <f>'Run Timeline'!G5</f>
        <v/>
      </c>
      <c r="E5" s="24">
        <f>D5*Assumptions!$B$35</f>
        <v/>
      </c>
      <c r="F5" s="24">
        <f>C5*Assumptions!$B$37</f>
        <v/>
      </c>
      <c r="G5" s="24">
        <f>E5+F5</f>
        <v/>
      </c>
      <c r="H5" s="24">
        <f>H4+G5</f>
        <v/>
      </c>
      <c r="I5" s="24" t="inlineStr">
        <is>
          <t>Gift event -&gt; G2 (~30 min)</t>
        </is>
      </c>
    </row>
    <row r="6">
      <c r="A6" s="24">
        <f>'Run Timeline'!A6</f>
        <v/>
      </c>
      <c r="B6" s="24">
        <f>'Run Timeline'!B6</f>
        <v/>
      </c>
      <c r="C6" s="35" t="n">
        <v>3</v>
      </c>
      <c r="D6" s="24">
        <f>'Run Timeline'!G6</f>
        <v/>
      </c>
      <c r="E6" s="24">
        <f>D6*Assumptions!$B$35</f>
        <v/>
      </c>
      <c r="F6" s="24">
        <f>C6*Assumptions!$B$37</f>
        <v/>
      </c>
      <c r="G6" s="24">
        <f>E6+F6</f>
        <v/>
      </c>
      <c r="H6" s="24">
        <f>H5+G6</f>
        <v/>
      </c>
    </row>
    <row r="7">
      <c r="A7" s="24">
        <f>'Run Timeline'!A7</f>
        <v/>
      </c>
      <c r="B7" s="24">
        <f>'Run Timeline'!B7</f>
        <v/>
      </c>
      <c r="C7" s="35" t="n">
        <v>3</v>
      </c>
      <c r="D7" s="24">
        <f>'Run Timeline'!G7</f>
        <v/>
      </c>
      <c r="E7" s="24">
        <f>D7*Assumptions!$B$35</f>
        <v/>
      </c>
      <c r="F7" s="24">
        <f>C7*Assumptions!$B$37</f>
        <v/>
      </c>
      <c r="G7" s="24">
        <f>E7+F7</f>
        <v/>
      </c>
      <c r="H7" s="24">
        <f>H6+G7</f>
        <v/>
      </c>
    </row>
    <row r="8">
      <c r="A8" s="24">
        <f>'Run Timeline'!A8</f>
        <v/>
      </c>
      <c r="B8" s="24">
        <f>'Run Timeline'!B8</f>
        <v/>
      </c>
      <c r="C8" s="35" t="n">
        <v>3</v>
      </c>
      <c r="D8" s="24">
        <f>'Run Timeline'!G8</f>
        <v/>
      </c>
      <c r="E8" s="24">
        <f>D8*Assumptions!$B$35</f>
        <v/>
      </c>
      <c r="F8" s="24">
        <f>C8*Assumptions!$B$37</f>
        <v/>
      </c>
      <c r="G8" s="24">
        <f>E8+F8</f>
        <v/>
      </c>
      <c r="H8" s="24">
        <f>H7+G8</f>
        <v/>
      </c>
    </row>
    <row r="9">
      <c r="A9" s="24">
        <f>'Run Timeline'!A9</f>
        <v/>
      </c>
      <c r="B9" s="24">
        <f>'Run Timeline'!B9</f>
        <v/>
      </c>
      <c r="C9" s="35" t="n">
        <v>3</v>
      </c>
      <c r="D9" s="24">
        <f>'Run Timeline'!G9</f>
        <v/>
      </c>
      <c r="E9" s="24">
        <f>D9*Assumptions!$B$35</f>
        <v/>
      </c>
      <c r="F9" s="24">
        <f>C9*Assumptions!$B$37</f>
        <v/>
      </c>
      <c r="G9" s="24">
        <f>E9+F9</f>
        <v/>
      </c>
      <c r="H9" s="24">
        <f>H8+G9</f>
        <v/>
      </c>
    </row>
    <row r="10">
      <c r="A10" s="24">
        <f>'Run Timeline'!A10</f>
        <v/>
      </c>
      <c r="B10" s="24">
        <f>'Run Timeline'!B10</f>
        <v/>
      </c>
      <c r="C10" s="35" t="n">
        <v>3</v>
      </c>
      <c r="D10" s="24">
        <f>'Run Timeline'!G10</f>
        <v/>
      </c>
      <c r="E10" s="24">
        <f>D10*Assumptions!$B$35</f>
        <v/>
      </c>
      <c r="F10" s="24">
        <f>C10*Assumptions!$B$37</f>
        <v/>
      </c>
      <c r="G10" s="24">
        <f>E10+F10</f>
        <v/>
      </c>
      <c r="H10" s="24">
        <f>H9+G10</f>
        <v/>
      </c>
    </row>
    <row r="11">
      <c r="A11" s="24">
        <f>'Run Timeline'!A11</f>
        <v/>
      </c>
      <c r="B11" s="24">
        <f>'Run Timeline'!B11</f>
        <v/>
      </c>
      <c r="C11" s="35" t="n">
        <v>3</v>
      </c>
      <c r="D11" s="24">
        <f>'Run Timeline'!G11</f>
        <v/>
      </c>
      <c r="E11" s="24">
        <f>D11*Assumptions!$B$35</f>
        <v/>
      </c>
      <c r="F11" s="24">
        <f>C11*Assumptions!$B$37</f>
        <v/>
      </c>
      <c r="G11" s="24">
        <f>E11+F11</f>
        <v/>
      </c>
      <c r="H11" s="24">
        <f>H10+G11</f>
        <v/>
      </c>
      <c r="I11" s="24" t="inlineStr">
        <is>
          <t>H8 = fold</t>
        </is>
      </c>
    </row>
    <row r="13">
      <c r="A13" s="24" t="inlineStr">
        <is>
          <t>Overnight fam XP renown (familiars x per-fam/hr x cap)</t>
        </is>
      </c>
      <c r="B13" s="24">
        <f>Assumptions!$B$38*Assumptions!$B$37*Assumptions!$B$41</f>
        <v/>
      </c>
    </row>
    <row r="14">
      <c r="A14" s="24" t="inlineStr">
        <is>
          <t>Overnight goods renown (Offline sheet @6h)</t>
        </is>
      </c>
      <c r="B14" s="24">
        <f>'Offline Check'!F5*Assumptions!$B$35</f>
        <v/>
      </c>
    </row>
    <row r="15">
      <c r="A15" s="24" t="inlineStr">
        <is>
          <t>Offering credit, run 1</t>
        </is>
      </c>
      <c r="B15" s="24">
        <f>Assumptions!$B$9</f>
        <v/>
      </c>
    </row>
    <row r="16">
      <c r="A16" s="34" t="inlineStr">
        <is>
          <t>RENOWN AT FOLD</t>
        </is>
      </c>
      <c r="B16" s="47">
        <f>H11+B13+B14+B15</f>
        <v/>
      </c>
    </row>
    <row r="18">
      <c r="A18" s="24" t="inlineStr">
        <is>
          <t>Verdure at SHIPPING divisor (5000)</t>
        </is>
      </c>
      <c r="B18" s="24">
        <f>FLOOR((B16/Assumptions!$B$39)^0.5,1)</f>
        <v/>
      </c>
    </row>
    <row r="19">
      <c r="A19" s="24" t="inlineStr">
        <is>
          <t>Verdure TARGET (Assumptions B10)</t>
        </is>
      </c>
      <c r="B19" s="24">
        <f>Assumptions!$B$10</f>
        <v/>
      </c>
    </row>
    <row r="20">
      <c r="A20" s="34">
        <f>&gt; Solved renownDivisor to hit target</f>
        <v/>
      </c>
      <c r="B20" s="48">
        <f>B16/Assumptions!$B$10^2</f>
        <v/>
      </c>
      <c r="C20" s="24" t="inlineStr">
        <is>
          <t>Recommend ~2000 (vs shipping 5000).</t>
        </is>
      </c>
    </row>
    <row r="22">
      <c r="A22" s="24" t="inlineStr">
        <is>
          <t>G1 run XP (stationed 8h active + cap offline)</t>
        </is>
      </c>
      <c r="B22" s="24">
        <f>Assumptions!$B$37*(8+Assumptions!$B$41)</f>
        <v/>
      </c>
    </row>
    <row r="23">
      <c r="A23" s="24" t="inlineStr">
        <is>
          <t>G1 Kinship at SHIPPING divisor (1000)</t>
        </is>
      </c>
      <c r="B23" s="24">
        <f>FLOOR(SQRT(B22/Assumptions!$B$40),1)</f>
        <v/>
      </c>
    </row>
    <row r="24">
      <c r="A24" s="24" t="inlineStr">
        <is>
          <t>Kinship TARGET (Assumptions B12)</t>
        </is>
      </c>
      <c r="B24" s="24">
        <f>Assumptions!$B$12</f>
        <v/>
      </c>
    </row>
    <row r="25">
      <c r="A25" s="34">
        <f>&gt; Solved kinshipDivisor to hit target</f>
        <v/>
      </c>
      <c r="B25" s="48">
        <f>B22/Assumptions!$B$12^2</f>
        <v/>
      </c>
      <c r="C25" s="24" t="inlineStr">
        <is>
          <t>Recommend ~12000 (vs shipping 1000).</t>
        </is>
      </c>
    </row>
    <row r="27">
      <c r="A27" s="34" t="inlineStr">
        <is>
          <t>Familiar XP share of Renown</t>
        </is>
      </c>
      <c r="B27" s="24">
        <f>(SUMPRODUCT(C4:C11)*Assumptions!$B$37+B13)/B16</f>
        <v/>
      </c>
      <c r="C27" s="24" t="inlineStr">
        <is>
          <t>Now ~52% (was ~76%): gathering is a co-equal Renown source. See Findings #13.</t>
        </is>
      </c>
    </row>
    <row r="29">
      <c r="A29" s="34" t="inlineStr">
        <is>
          <t>SNAPSHOT (python, DECISION applied 2026-07-22 gatherPerUnit=3; open in Excel to recalc live):</t>
        </is>
      </c>
    </row>
    <row r="30">
      <c r="A30" s="24" t="inlineStr">
        <is>
          <t>Renown at fold</t>
        </is>
      </c>
      <c r="B30" s="24" t="inlineStr">
        <is>
          <t>281,649</t>
        </is>
      </c>
    </row>
    <row r="31">
      <c r="A31" s="24" t="inlineStr">
        <is>
          <t>Gather / Familiar share</t>
        </is>
      </c>
      <c r="B31" s="24" t="inlineStr">
        <is>
          <t>46% / 52%</t>
        </is>
      </c>
    </row>
    <row r="32">
      <c r="A32" s="24" t="inlineStr">
        <is>
          <t>Verdure @ renownDivisor 2800</t>
        </is>
      </c>
      <c r="B32" s="24" t="inlineStr">
        <is>
          <t>10</t>
        </is>
      </c>
    </row>
    <row r="33">
      <c r="A33" s="24" t="inlineStr">
        <is>
          <t>G1 run XP</t>
        </is>
      </c>
      <c r="B33" s="24" t="inlineStr">
        <is>
          <t>50,400</t>
        </is>
      </c>
    </row>
    <row r="34">
      <c r="A34" s="24" t="inlineStr">
        <is>
          <t>G1 Kinship @ kinshipDivisor 12000</t>
        </is>
      </c>
      <c r="B34" s="24" t="inlineStr">
        <is>
          <t>2</t>
        </is>
      </c>
    </row>
    <row r="35">
      <c r="A35" s="24" t="inlineStr">
        <is>
          <t>(was, gatherPerUnit=1)</t>
        </is>
      </c>
      <c r="B35" s="24" t="inlineStr">
        <is>
          <t>Renown 195k, gather 22%, fam 76%</t>
        </is>
      </c>
    </row>
    <row r="36">
      <c r="A36" s="24" t="inlineStr">
        <is>
          <t>Familiar XP share</t>
        </is>
      </c>
      <c r="B36" s="24" t="inlineStr">
        <is>
          <t>76%</t>
        </is>
      </c>
    </row>
    <row r="37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4" min="1" max="1"/>
    <col width="12" customWidth="1" style="24" min="2" max="2"/>
    <col width="14" customWidth="1" style="24" min="3" max="3"/>
    <col width="12" customWidth="1" style="24" min="4" max="8"/>
    <col width="11" customWidth="1" style="24" min="9" max="13"/>
    <col width="14" customWidth="1" style="24" min="14" max="14"/>
  </cols>
  <sheetData>
    <row r="1" ht="16.15" customHeight="1" s="25">
      <c r="A1" s="26" t="inlineStr">
        <is>
          <t>Hour-six proof — is there always a meaningful next purchase? (band = 10–90 min of discretionary income)</t>
        </is>
      </c>
    </row>
    <row r="3" ht="15" customHeight="1" s="25">
      <c r="A3" s="36" t="inlineStr">
        <is>
          <t>Hour</t>
        </is>
      </c>
      <c r="B3" s="36" t="inlineStr">
        <is>
          <t>Income/hr</t>
        </is>
      </c>
      <c r="C3" s="36" t="inlineStr">
        <is>
          <t>Discr./hr</t>
        </is>
      </c>
      <c r="D3" s="36" t="inlineStr">
        <is>
          <t>Replant next</t>
        </is>
      </c>
      <c r="E3" s="36" t="inlineStr">
        <is>
          <t>Building next</t>
        </is>
      </c>
      <c r="F3" s="36" t="inlineStr">
        <is>
          <t>Tool batch</t>
        </is>
      </c>
      <c r="G3" s="36" t="inlineStr">
        <is>
          <t>Provisions</t>
        </is>
      </c>
      <c r="H3" s="36" t="inlineStr">
        <is>
          <t>Planter next</t>
        </is>
      </c>
      <c r="I3" s="36" t="inlineStr">
        <is>
          <t>-&gt; min</t>
        </is>
      </c>
      <c r="J3" s="36" t="inlineStr">
        <is>
          <t>-&gt; min</t>
        </is>
      </c>
      <c r="K3" s="36" t="inlineStr">
        <is>
          <t>-&gt; min</t>
        </is>
      </c>
      <c r="L3" s="36" t="inlineStr">
        <is>
          <t>-&gt; min</t>
        </is>
      </c>
      <c r="M3" s="36" t="inlineStr">
        <is>
          <t>-&gt; min</t>
        </is>
      </c>
      <c r="N3" s="36" t="inlineStr">
        <is>
          <t>Verdict</t>
        </is>
      </c>
    </row>
    <row r="4" ht="15" customHeight="1" s="25">
      <c r="A4" s="29" t="inlineStr">
        <is>
          <t>H1 (Day 1)</t>
        </is>
      </c>
      <c r="B4" s="42">
        <f>'Run Timeline'!G4</f>
        <v/>
      </c>
      <c r="C4" s="39">
        <f>B4*Assumptions!$B$14</f>
        <v/>
      </c>
      <c r="D4" s="39">
        <f>Assumptions!$B$15*Assumptions!$B$16^'Run Timeline'!D4</f>
        <v/>
      </c>
      <c r="E4" s="39">
        <f>Assumptions!$B$17*Assumptions!$B$18^1</f>
        <v/>
      </c>
      <c r="F4" s="49" t="n">
        <v>100000</v>
      </c>
      <c r="G4" s="39">
        <f>Assumptions!$B$19</f>
        <v/>
      </c>
      <c r="H4" s="49" t="n">
        <v>100000</v>
      </c>
      <c r="I4" s="39">
        <f>D4/C4*60</f>
        <v/>
      </c>
      <c r="J4" s="39">
        <f>E4/C4*60</f>
        <v/>
      </c>
      <c r="K4" s="39">
        <f>F4/C4*60</f>
        <v/>
      </c>
      <c r="L4" s="39">
        <f>G4/C4*60</f>
        <v/>
      </c>
      <c r="M4" s="39">
        <f>H4/C4*60</f>
        <v/>
      </c>
      <c r="N4" s="40">
        <f>IF(SUMPRODUCT((I4:M4&gt;=Assumptions!$B$26)*(I4:M4&lt;=Assumptions!$B$27))&gt;0,"OK",IF(SUMPRODUCT((I4:M4&lt;Assumptions!$B$26))&gt;0,"TRIVIAL-ONLY","WALL"))</f>
        <v/>
      </c>
    </row>
    <row r="5" ht="15" customHeight="1" s="25">
      <c r="A5" s="29" t="inlineStr">
        <is>
          <t>H2</t>
        </is>
      </c>
      <c r="B5" s="42">
        <f>'Run Timeline'!G5</f>
        <v/>
      </c>
      <c r="C5" s="39">
        <f>B5*Assumptions!$B$14</f>
        <v/>
      </c>
      <c r="D5" s="39">
        <f>Assumptions!$B$15*Assumptions!$B$16^'Run Timeline'!D5</f>
        <v/>
      </c>
      <c r="E5" s="39">
        <f>Assumptions!$B$17*Assumptions!$B$18^2</f>
        <v/>
      </c>
      <c r="F5" s="39">
        <f>Assumptions!$B$22</f>
        <v/>
      </c>
      <c r="G5" s="39">
        <f>Assumptions!$B$20</f>
        <v/>
      </c>
      <c r="H5" s="49" t="n">
        <v>100000</v>
      </c>
      <c r="I5" s="39">
        <f>D5/C5*60</f>
        <v/>
      </c>
      <c r="J5" s="39">
        <f>E5/C5*60</f>
        <v/>
      </c>
      <c r="K5" s="39">
        <f>F5/C5*60</f>
        <v/>
      </c>
      <c r="L5" s="39">
        <f>G5/C5*60</f>
        <v/>
      </c>
      <c r="M5" s="39">
        <f>H5/C5*60</f>
        <v/>
      </c>
      <c r="N5" s="40">
        <f>IF(SUMPRODUCT((I5:M5&gt;=Assumptions!$B$26)*(I5:M5&lt;=Assumptions!$B$27))&gt;0,"OK",IF(SUMPRODUCT((I5:M5&lt;Assumptions!$B$26))&gt;0,"TRIVIAL-ONLY","WALL"))</f>
        <v/>
      </c>
    </row>
    <row r="6" ht="15" customHeight="1" s="25">
      <c r="A6" s="29" t="inlineStr">
        <is>
          <t>H3</t>
        </is>
      </c>
      <c r="B6" s="42">
        <f>'Run Timeline'!G6</f>
        <v/>
      </c>
      <c r="C6" s="39">
        <f>B6*Assumptions!$B$14</f>
        <v/>
      </c>
      <c r="D6" s="39">
        <f>Assumptions!$B$15*Assumptions!$B$16^'Run Timeline'!D6</f>
        <v/>
      </c>
      <c r="E6" s="39">
        <f>Assumptions!$B$17*Assumptions!$B$18^3</f>
        <v/>
      </c>
      <c r="F6" s="49" t="n">
        <v>100000</v>
      </c>
      <c r="G6" s="49" t="n">
        <v>100000</v>
      </c>
      <c r="H6" s="32" t="n">
        <v>120</v>
      </c>
      <c r="I6" s="39">
        <f>D6/C6*60</f>
        <v/>
      </c>
      <c r="J6" s="39">
        <f>E6/C6*60</f>
        <v/>
      </c>
      <c r="K6" s="39">
        <f>F6/C6*60</f>
        <v/>
      </c>
      <c r="L6" s="39">
        <f>G6/C6*60</f>
        <v/>
      </c>
      <c r="M6" s="39">
        <f>H6/C6*60</f>
        <v/>
      </c>
      <c r="N6" s="40">
        <f>IF(SUMPRODUCT((I6:M6&gt;=Assumptions!$B$26)*(I6:M6&lt;=Assumptions!$B$27))&gt;0,"OK",IF(SUMPRODUCT((I6:M6&lt;Assumptions!$B$26))&gt;0,"TRIVIAL-ONLY","WALL"))</f>
        <v/>
      </c>
    </row>
    <row r="7" ht="15" customHeight="1" s="25">
      <c r="A7" s="29" t="inlineStr">
        <is>
          <t>H4 (Day 2)</t>
        </is>
      </c>
      <c r="B7" s="42">
        <f>'Run Timeline'!G7</f>
        <v/>
      </c>
      <c r="C7" s="39">
        <f>B7*Assumptions!$B$14</f>
        <v/>
      </c>
      <c r="D7" s="39">
        <f>Assumptions!$B$15*Assumptions!$B$16^'Run Timeline'!D7</f>
        <v/>
      </c>
      <c r="E7" s="39">
        <f>Assumptions!$B$17*Assumptions!$B$18^4</f>
        <v/>
      </c>
      <c r="F7" s="49" t="n">
        <v>100000</v>
      </c>
      <c r="G7" s="49" t="n">
        <v>100000</v>
      </c>
      <c r="H7" s="32" t="n">
        <v>180</v>
      </c>
      <c r="I7" s="39">
        <f>D7/C7*60</f>
        <v/>
      </c>
      <c r="J7" s="39">
        <f>E7/C7*60</f>
        <v/>
      </c>
      <c r="K7" s="39">
        <f>F7/C7*60</f>
        <v/>
      </c>
      <c r="L7" s="39">
        <f>G7/C7*60</f>
        <v/>
      </c>
      <c r="M7" s="39">
        <f>H7/C7*60</f>
        <v/>
      </c>
      <c r="N7" s="40">
        <f>IF(SUMPRODUCT((I7:M7&gt;=Assumptions!$B$26)*(I7:M7&lt;=Assumptions!$B$27))&gt;0,"OK",IF(SUMPRODUCT((I7:M7&lt;Assumptions!$B$26))&gt;0,"TRIVIAL-ONLY","WALL"))</f>
        <v/>
      </c>
    </row>
    <row r="8" ht="15" customHeight="1" s="25">
      <c r="A8" s="29" t="inlineStr">
        <is>
          <t>H5</t>
        </is>
      </c>
      <c r="B8" s="42">
        <f>'Run Timeline'!G8</f>
        <v/>
      </c>
      <c r="C8" s="39">
        <f>B8*Assumptions!$B$14</f>
        <v/>
      </c>
      <c r="D8" s="39">
        <f>Assumptions!$B$15*Assumptions!$B$16^'Run Timeline'!D8</f>
        <v/>
      </c>
      <c r="E8" s="39">
        <f>Assumptions!$B$17*Assumptions!$B$18^5</f>
        <v/>
      </c>
      <c r="F8" s="39">
        <f>Assumptions!$B$23</f>
        <v/>
      </c>
      <c r="G8" s="39">
        <f>Assumptions!$B$21</f>
        <v/>
      </c>
      <c r="H8" s="49" t="n">
        <v>100000</v>
      </c>
      <c r="I8" s="39">
        <f>D8/C8*60</f>
        <v/>
      </c>
      <c r="J8" s="39">
        <f>E8/C8*60</f>
        <v/>
      </c>
      <c r="K8" s="39">
        <f>F8/C8*60</f>
        <v/>
      </c>
      <c r="L8" s="39">
        <f>G8/C8*60</f>
        <v/>
      </c>
      <c r="M8" s="39">
        <f>H8/C8*60</f>
        <v/>
      </c>
      <c r="N8" s="40">
        <f>IF(SUMPRODUCT((I8:M8&gt;=Assumptions!$B$26)*(I8:M8&lt;=Assumptions!$B$27))&gt;0,"OK",IF(SUMPRODUCT((I8:M8&lt;Assumptions!$B$26))&gt;0,"TRIVIAL-ONLY","WALL"))</f>
        <v/>
      </c>
    </row>
    <row r="9" ht="15" customHeight="1" s="25">
      <c r="A9" s="40" t="inlineStr">
        <is>
          <t>H6</t>
        </is>
      </c>
      <c r="B9" s="42">
        <f>'Run Timeline'!G9</f>
        <v/>
      </c>
      <c r="C9" s="39">
        <f>B9*Assumptions!$B$14</f>
        <v/>
      </c>
      <c r="D9" s="39">
        <f>Assumptions!$B$15*Assumptions!$B$16^'Run Timeline'!D9</f>
        <v/>
      </c>
      <c r="E9" s="39">
        <f>Assumptions!$B$17*Assumptions!$B$18^6</f>
        <v/>
      </c>
      <c r="F9" s="49" t="n">
        <v>100000</v>
      </c>
      <c r="G9" s="49" t="n">
        <v>100000</v>
      </c>
      <c r="H9" s="32" t="n">
        <v>260</v>
      </c>
      <c r="I9" s="39">
        <f>D9/C9*60</f>
        <v/>
      </c>
      <c r="J9" s="39">
        <f>E9/C9*60</f>
        <v/>
      </c>
      <c r="K9" s="39">
        <f>F9/C9*60</f>
        <v/>
      </c>
      <c r="L9" s="39">
        <f>G9/C9*60</f>
        <v/>
      </c>
      <c r="M9" s="39">
        <f>H9/C9*60</f>
        <v/>
      </c>
      <c r="N9" s="40">
        <f>IF(SUMPRODUCT((I9:M9&gt;=Assumptions!$B$26)*(I9:M9&lt;=Assumptions!$B$27))&gt;0,"OK",IF(SUMPRODUCT((I9:M9&lt;Assumptions!$B$26))&gt;0,"TRIVIAL-ONLY","WALL"))</f>
        <v/>
      </c>
    </row>
    <row r="10" ht="15" customHeight="1" s="25">
      <c r="A10" s="29" t="inlineStr">
        <is>
          <t>H7</t>
        </is>
      </c>
      <c r="B10" s="42">
        <f>'Run Timeline'!G10</f>
        <v/>
      </c>
      <c r="C10" s="39">
        <f>B10*Assumptions!$B$14</f>
        <v/>
      </c>
      <c r="D10" s="39">
        <f>Assumptions!$B$15*Assumptions!$B$16^'Run Timeline'!D10</f>
        <v/>
      </c>
      <c r="E10" s="39">
        <f>Assumptions!$B$17*Assumptions!$B$18^7</f>
        <v/>
      </c>
      <c r="F10" s="39">
        <f>Assumptions!$B$24</f>
        <v/>
      </c>
      <c r="G10" s="49" t="n">
        <v>100000</v>
      </c>
      <c r="H10" s="49" t="n">
        <v>100000</v>
      </c>
      <c r="I10" s="39">
        <f>D10/C10*60</f>
        <v/>
      </c>
      <c r="J10" s="39">
        <f>E10/C10*60</f>
        <v/>
      </c>
      <c r="K10" s="39">
        <f>F10/C10*60</f>
        <v/>
      </c>
      <c r="L10" s="39">
        <f>G10/C10*60</f>
        <v/>
      </c>
      <c r="M10" s="39">
        <f>H10/C10*60</f>
        <v/>
      </c>
      <c r="N10" s="40">
        <f>IF(SUMPRODUCT((I10:M10&gt;=Assumptions!$B$26)*(I10:M10&lt;=Assumptions!$B$27))&gt;0,"OK",IF(SUMPRODUCT((I10:M10&lt;Assumptions!$B$26))&gt;0,"TRIVIAL-ONLY","WALL"))</f>
        <v/>
      </c>
    </row>
    <row r="11" ht="15" customHeight="1" s="25">
      <c r="A11" s="29" t="inlineStr">
        <is>
          <t>H8 (fold)</t>
        </is>
      </c>
      <c r="B11" s="42">
        <f>'Run Timeline'!G11</f>
        <v/>
      </c>
      <c r="C11" s="39">
        <f>B11*Assumptions!$B$14</f>
        <v/>
      </c>
      <c r="D11" s="39">
        <f>Assumptions!$B$15*Assumptions!$B$16^'Run Timeline'!D11</f>
        <v/>
      </c>
      <c r="E11" s="39">
        <f>Assumptions!$B$17*Assumptions!$B$18^8</f>
        <v/>
      </c>
      <c r="F11" s="49" t="n">
        <v>100000</v>
      </c>
      <c r="G11" s="49" t="n">
        <v>100000</v>
      </c>
      <c r="H11" s="49" t="n">
        <v>100000</v>
      </c>
      <c r="I11" s="39">
        <f>D11/C11*60</f>
        <v/>
      </c>
      <c r="J11" s="39">
        <f>E11/C11*60</f>
        <v/>
      </c>
      <c r="K11" s="39">
        <f>F11/C11*60</f>
        <v/>
      </c>
      <c r="L11" s="39">
        <f>G11/C11*60</f>
        <v/>
      </c>
      <c r="M11" s="39">
        <f>H11/C11*60</f>
        <v/>
      </c>
      <c r="N11" s="40">
        <f>IF(SUMPRODUCT((I11:M11&gt;=Assumptions!$B$26)*(I11:M11&lt;=Assumptions!$B$27))&gt;0,"OK",IF(SUMPRODUCT((I11:M11&lt;Assumptions!$B$26))&gt;0,"TRIVIAL-ONLY","WALL"))</f>
        <v/>
      </c>
    </row>
    <row r="13" ht="15" customHeight="1" s="25">
      <c r="A13" s="44" t="inlineStr">
        <is>
          <t>Sentinel 100,000 = option not available that hour (reads as absurd minutes; ignored by the band unless nothing else exists).</t>
        </is>
      </c>
    </row>
    <row r="14" ht="25.5" customHeight="1" s="25">
      <c r="A14" s="27" t="inlineStr">
        <is>
          <t>Verdict meanings: OK = at least one purchase lands in the band. TRIVIAL-ONLY = everything affordable is &lt;10 min (income has outrun the sinks -&gt; raise replant cap / add building levels). WALL = nothing under 90 min (sinks have outrun income).</t>
        </is>
      </c>
    </row>
  </sheetData>
  <mergeCells count="2">
    <mergeCell ref="A13:N13"/>
    <mergeCell ref="A14:N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14" customWidth="1" style="24" min="2" max="2"/>
    <col width="16" customWidth="1" style="24" min="3" max="4"/>
    <col width="14" customWidth="1" style="24" min="5" max="7"/>
    <col width="34" customWidth="1" style="24" min="8" max="8"/>
  </cols>
  <sheetData>
    <row r="1" ht="16.15" customHeight="1" s="25">
      <c r="A1" s="26" t="inlineStr">
        <is>
          <t>Overnight earnings — small crew, v0.11 stationing (assigned gatherers; unheld trail = x0.5 of one post; wanderers x0.5)</t>
        </is>
      </c>
    </row>
    <row r="3" ht="15" customHeight="1" s="25">
      <c r="A3" s="36" t="inlineStr">
        <is>
          <t>Ground gatherers (assigned)</t>
        </is>
      </c>
      <c r="B3" s="36" t="inlineStr">
        <is>
          <t>Demand / hr</t>
        </is>
      </c>
      <c r="C3" s="36" t="inlineStr">
        <is>
          <t>Trail-post haul cap</t>
        </is>
      </c>
      <c r="D3" s="36" t="inlineStr">
        <is>
          <t>Eff / hr (1 post)</t>
        </is>
      </c>
      <c r="E3" s="36" t="inlineStr">
        <is>
          <t>@4 h cap</t>
        </is>
      </c>
      <c r="F3" s="36" t="inlineStr">
        <is>
          <t>@6 h cap</t>
        </is>
      </c>
      <c r="G3" s="36" t="inlineStr">
        <is>
          <t>@8 h cap</t>
        </is>
      </c>
      <c r="H3" s="36" t="inlineStr">
        <is>
          <t>Note</t>
        </is>
      </c>
    </row>
    <row r="4" ht="15" customHeight="1" s="25">
      <c r="A4" s="29" t="inlineStr">
        <is>
          <t>2 gatherers (+1 on the trail)</t>
        </is>
      </c>
      <c r="B4" s="39">
        <f>2*Assumptions!$B$5*Assumptions!$B$29*Assumptions!$B$30</f>
        <v/>
      </c>
      <c r="C4" s="39">
        <f>4*Assumptions!$B$5*Assumptions!$B$29*Assumptions!$B$30*Assumptions!$B$31</f>
        <v/>
      </c>
      <c r="D4" s="39">
        <f>MIN(B4,C4)</f>
        <v/>
      </c>
      <c r="E4" s="39">
        <f>D4*4</f>
        <v/>
      </c>
      <c r="F4" s="39">
        <f>D4*6</f>
        <v/>
      </c>
      <c r="G4" s="39">
        <f>D4*8</f>
        <v/>
      </c>
      <c r="H4" s="44" t="n"/>
    </row>
    <row r="5" ht="15" customHeight="1" s="25">
      <c r="A5" s="29" t="inlineStr">
        <is>
          <t>3 gatherers (+1 on the trail)</t>
        </is>
      </c>
      <c r="B5" s="39">
        <f>3*Assumptions!$B$5*Assumptions!$B$29*Assumptions!$B$30</f>
        <v/>
      </c>
      <c r="C5" s="39">
        <f>4*Assumptions!$B$5*Assumptions!$B$29*Assumptions!$B$30*Assumptions!$B$31</f>
        <v/>
      </c>
      <c r="D5" s="39">
        <f>MIN(B5,C5)</f>
        <v/>
      </c>
      <c r="E5" s="39">
        <f>D5*4</f>
        <v/>
      </c>
      <c r="F5" s="39">
        <f>D5*6</f>
        <v/>
      </c>
      <c r="G5" s="39">
        <f>D5*8</f>
        <v/>
      </c>
      <c r="H5" s="44" t="n"/>
    </row>
    <row r="6" ht="15" customHeight="1" s="25">
      <c r="A6" s="29" t="inlineStr">
        <is>
          <t>4 gatherers (+1 on the trail)</t>
        </is>
      </c>
      <c r="B6" s="39">
        <f>4*Assumptions!$B$5*Assumptions!$B$29*Assumptions!$B$30</f>
        <v/>
      </c>
      <c r="C6" s="39">
        <f>4*Assumptions!$B$5*Assumptions!$B$29*Assumptions!$B$30*Assumptions!$B$31</f>
        <v/>
      </c>
      <c r="D6" s="39">
        <f>MIN(B6,C6)</f>
        <v/>
      </c>
      <c r="E6" s="39">
        <f>D6*4</f>
        <v/>
      </c>
      <c r="F6" s="39">
        <f>D6*6</f>
        <v/>
      </c>
      <c r="G6" s="39">
        <f>D6*8</f>
        <v/>
      </c>
      <c r="H6" s="44" t="inlineStr">
        <is>
          <t>haul-capped — assign or wing</t>
        </is>
      </c>
    </row>
    <row r="7" ht="15" customHeight="1" s="25">
      <c r="A7" s="29" t="inlineStr">
        <is>
          <t>5 gatherers (+1 on the trail)</t>
        </is>
      </c>
      <c r="B7" s="39">
        <f>5*Assumptions!$B$5*Assumptions!$B$29*Assumptions!$B$30</f>
        <v/>
      </c>
      <c r="C7" s="39">
        <f>4*Assumptions!$B$5*Assumptions!$B$29*Assumptions!$B$30*Assumptions!$B$31</f>
        <v/>
      </c>
      <c r="D7" s="39">
        <f>MIN(B7,C7)</f>
        <v/>
      </c>
      <c r="E7" s="39">
        <f>D7*4</f>
        <v/>
      </c>
      <c r="F7" s="39">
        <f>D7*6</f>
        <v/>
      </c>
      <c r="G7" s="39">
        <f>D7*8</f>
        <v/>
      </c>
      <c r="H7" s="44" t="inlineStr">
        <is>
          <t>haul-capped — assign or wing</t>
        </is>
      </c>
    </row>
    <row r="9" ht="15" customHeight="1" s="25">
      <c r="A9" s="41" t="inlineStr">
        <is>
          <t>With Spare Wing (2 trail posts held)</t>
        </is>
      </c>
    </row>
    <row r="10" ht="15" customHeight="1" s="25">
      <c r="A10" s="29" t="inlineStr">
        <is>
          <t>4 gatherers, 2 posts held</t>
        </is>
      </c>
      <c r="B10" s="39">
        <f>4*Assumptions!$B$5*Assumptions!$B$29*Assumptions!$B$30</f>
        <v/>
      </c>
      <c r="C10" s="39">
        <f>2*4*Assumptions!$B$5*Assumptions!$B$29*Assumptions!$B$30*Assumptions!$B$31</f>
        <v/>
      </c>
      <c r="D10" s="39">
        <f>MIN(B10,C10)</f>
        <v/>
      </c>
      <c r="F10" s="39">
        <f>D10*6</f>
        <v/>
      </c>
      <c r="H10" s="44" t="inlineStr">
        <is>
          <t>the 2nd post relieves the cap — the SP-1 stance</t>
        </is>
      </c>
    </row>
    <row r="11" ht="15" customHeight="1" s="25">
      <c r="A11" s="29" t="inlineStr">
        <is>
          <t>5 gatherers, 2 posts held</t>
        </is>
      </c>
      <c r="B11" s="39">
        <f>5*Assumptions!$B$5*Assumptions!$B$29*Assumptions!$B$30</f>
        <v/>
      </c>
      <c r="C11" s="39">
        <f>2*4*Assumptions!$B$5*Assumptions!$B$29*Assumptions!$B$30*Assumptions!$B$31</f>
        <v/>
      </c>
      <c r="D11" s="39">
        <f>MIN(B11,C11)</f>
        <v/>
      </c>
      <c r="F11" s="39">
        <f>D11*6</f>
        <v/>
      </c>
      <c r="H11" s="44" t="inlineStr">
        <is>
          <t>the 2nd post relieves the cap — the SP-1 stance</t>
        </is>
      </c>
    </row>
    <row r="13" ht="15" customHeight="1" s="25">
      <c r="A13" s="41" t="inlineStr">
        <is>
          <t>Benchmark: overnight @6 h vs. Day-2 shopping list (Zone 4 provisions + bronze batch + building L5)</t>
        </is>
      </c>
    </row>
    <row r="14" ht="15" customHeight="1" s="25">
      <c r="A14" s="29" t="inlineStr">
        <is>
          <t>Shopping list value</t>
        </is>
      </c>
      <c r="B14" s="39">
        <f>Assumptions!$B$21+Assumptions!$B$23+Assumptions!$B$17*Assumptions!$B$18^5</f>
        <v/>
      </c>
    </row>
    <row r="15" ht="15" customHeight="1" s="25">
      <c r="A15" s="29" t="inlineStr">
        <is>
          <t>3-agent overnight @6 h covers</t>
        </is>
      </c>
      <c r="B15" s="50">
        <f>F5/B14</f>
        <v/>
      </c>
      <c r="C15" s="44" t="inlineStr">
        <is>
          <t>Target: &gt;=1.0x — a night away should fund the morning's plans, not dwarf a week of play.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20" customWidth="1" style="24" min="2" max="2"/>
  </cols>
  <sheetData>
    <row r="1" ht="16.15" customHeight="1" s="25">
      <c r="A1" s="26" t="inlineStr">
        <is>
          <t>Findings — ECO-1 seed model</t>
        </is>
      </c>
    </row>
    <row r="3" ht="42" customHeight="1" s="25">
      <c r="A3" s="40" t="inlineStr">
        <is>
          <t>1</t>
        </is>
      </c>
      <c r="B3" s="51" t="inlineStr">
        <is>
          <t>Hour-six proof PASSES on defaults: every hour block verdicts OK on the SinkLadder. But the band-holder is the BUILDING line (~20-30 min per level all run), not replanting: a single replant level goes trivial (&lt;10 min) from H2 onward at r=1.35. Recommendation: either raise r toward 1.5-1.6 so late richness levels re-enter the band, or sell replants in multi-level batches - and protect the building lines, because if they starve the whole ladder drifts TRIVIAL-ONLY.</t>
        </is>
      </c>
    </row>
    <row r="4" ht="42" customHeight="1" s="25">
      <c r="A4" s="40" t="inlineStr">
        <is>
          <t>2</t>
        </is>
      </c>
      <c r="B4" s="51" t="inlineStr">
        <is>
          <t>Solved constants (Run Timeline, yellow): K (Verdure) ~ 425 and K_f (Kinship) ~ 650 at defaults - DERIVED as Renown-at-fold / target^2, not guessed. They recompute automatically when any input moves; adopt the solved values into design/data as starting constants.</t>
        </is>
      </c>
    </row>
    <row r="5" ht="42" customHeight="1" s="25">
      <c r="A5" s="40" t="inlineStr">
        <is>
          <t>3</t>
        </is>
      </c>
      <c r="B5" s="51" t="inlineStr">
        <is>
          <t>The Rite's Renown share is ~10% of lifetime Renown at defaults (4,000 of ~42,500) - offerings genuinely never tax prestige, but they are not yet a MAJOR contributor either. If the fold forecast should visibly jump on verse completion (the chunky-Renown intent), raise authored offering quantities or the deed/specimen fixed grants.</t>
        </is>
      </c>
    </row>
    <row r="6" ht="42" customHeight="1" s="25">
      <c r="A6" s="40" t="inlineStr">
        <is>
          <t>4</t>
        </is>
      </c>
      <c r="B6" s="51" t="inlineStr">
        <is>
          <t>Offline is generous within genre norms: 3 assigned gatherers overnight at the 6 h cap earn ~11,200 goods = about 2.4 active hours, covering the Day-2 shopping list ~6x. At 4+ gatherers a single held trail post binds (demand 2,496/hr vs post cap 1,872/hr) - visible haul-capping that makes Spare Wing legible. SP-1 stance encoded: one post = 75% of a 4-gatherer demand; hauling equipment tuned against 2 eventual posts. v0.11 wandering means an unheld trail still moves x0.5 of one post - the model's MIN() shape is unchanged, only the floor rose.</t>
        </is>
      </c>
    </row>
    <row r="7" ht="42" customHeight="1" s="25">
      <c r="A7" s="40" t="inlineStr">
        <is>
          <t>5</t>
        </is>
      </c>
      <c r="B7" s="51" t="inlineStr">
        <is>
          <t>TRIVIAL-ONLY is the failure mode to watch, not WALL: income compounds (tools x richness x agents) faster than any single sink curve. The two levers are the replant ratio/cap and the bottomless building lines; the four-way goods dilemma (kit/caravan/spirits/land) is what holds late-run tension.</t>
        </is>
      </c>
    </row>
    <row r="8" ht="42" customHeight="1" s="25">
      <c r="A8" s="40" t="inlineStr">
        <is>
          <t>6</t>
        </is>
      </c>
      <c r="B8" s="51" t="inlineStr">
        <is>
          <t>Everything here is placeholder-by-design: blue cells are the levers. The Phase 3 balance pass should extend this to per-resource detail, the wanderer x0.5 floor, and runs 2-5 for the Rite generator proof.</t>
        </is>
      </c>
    </row>
    <row r="9">
      <c r="A9" s="24" t="inlineStr">
        <is>
          <t>7</t>
        </is>
      </c>
      <c r="B9" s="52" t="inlineStr">
        <is>
          <t>BALANCE PASS 2026-07-22. ECO-1 models Renown as yield/hr x 1.2, folding familiar XP into a per-good factor. In the shipping sim familiar XP is per-familiar-per-SECOND (xpPerSecond=1, ~3,600/hr each) and credited 1:1 to Renown (Familiars.cs:146), so it does not scale with yield - it dominates. Corrected Renown-at-fold ~195k (vs ECO-1's ~56k), of which ~76% is familiar time XP. ECO-1's solved K (~425) is therefore ~4x too low; see ECO-2 Renown.</t>
        </is>
      </c>
    </row>
    <row r="10">
      <c r="A10" s="24" t="inlineStr">
        <is>
          <t>8</t>
        </is>
      </c>
      <c r="B10" s="52" t="inlineStr">
        <is>
          <t>Verdure: shipping renownDivisor=5000 banks Verdure 6 at first fold, under the ~10 target (#8). Solve on corrected Renown -&gt; renownDivisor ~2000. Kinship: shipping kinshipDivisor=1000 banks G1 Kinship 7 at first fold, far over the ~2 target (#4) - solve -&gt; ~12000. These two are the headline actionable outcomes (JSON Tuning #1-2).</t>
        </is>
      </c>
    </row>
    <row r="11">
      <c r="A11" s="24" t="inlineStr">
        <is>
          <t>9</t>
        </is>
      </c>
      <c r="B11" s="52" t="inlineStr">
        <is>
          <t>DESIGN CALL for Mo: because familiar XP is ~76% of Renown, the prestige currency effectively counts hours stationed, and gathering/crafting upgrades barely move Verdure - at odds with #9's 'every good handled credits Renown'. Options: credit familiar XP to Renown at a fraction (e.g. 0.25x), or raise xp.gatherPerUnit. Either rebalances the divisor solves. Not changed unilaterally.</t>
        </is>
      </c>
    </row>
    <row r="12">
      <c r="A12" s="24" t="inlineStr">
        <is>
          <t>10</t>
        </is>
      </c>
      <c r="B12" s="52" t="inlineStr">
        <is>
          <t>xpPerSecond=1 is left alone: it is well-tuned for the powerup cadence (first powerup at level 5 ~= 7 min stationed). Renown pacing is fixed at the divisor, not the XP rate.</t>
        </is>
      </c>
    </row>
    <row r="13">
      <c r="A13" s="24" t="inlineStr">
        <is>
          <t>13</t>
        </is>
      </c>
      <c r="B13" s="52" t="inlineStr">
        <is>
          <t>DECISION 2026-07-22 (Mo): resolve the Finding #9 design call by raising xp.gatherPerUnit 1 -&gt; 3 (not cutting familiar-XP crediting - familiars already level fast). Effect: gathering rises from 22% to ~46% of Renown, co-equal with familiar XP (~52%); Renown-at-fold ~282k. Consequent divisors APPLIED: verdure.renownDivisor 5000 -&gt; 2800 (Verdure ~10 at first fold), familiarXp.kinshipDivisor 1000 -&gt; 12000 (G1 Kinship ~2). gatherPerUnit also feeds warden gathering-skill XP, but recipe gates (max L5) are met in minutes at any value, so progression pacing is unchanged. Applied to economy.json + GameDataTests pins; GameData.asset re-imported and EditMode suite re-run to confirm green. Not committed.</t>
        </is>
      </c>
    </row>
    <row r="14">
      <c r="A14" s="24" t="inlineStr">
        <is>
          <t>12</t>
        </is>
      </c>
      <c r="B14" s="52" t="inlineStr">
        <is>
          <t>NOT YET APPLIED to design/data: changing economy.json restages Assets/Resources/Data/GameData.asset (Unity reimport) and may trip GameDataTests pins - needs a build+test run. Recommendations live in the JSON Tuning sheet; apply on Mo's go-ahead.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" customWidth="1" style="25" min="1" max="1"/>
    <col width="30" customWidth="1" style="25" min="2" max="2"/>
    <col width="16" customWidth="1" style="25" min="3" max="3"/>
    <col width="18" customWidth="1" style="25" min="4" max="4"/>
    <col width="16" customWidth="1" style="25" min="5" max="5"/>
    <col width="64" customWidth="1" style="25" min="6" max="6"/>
    <col width="14" customWidth="1" style="25" min="7" max="7"/>
  </cols>
  <sheetData>
    <row r="1">
      <c r="A1" s="34" t="inlineStr">
        <is>
          <t>Balance pass 2026-07-22. #1-3 + gatherPerUnit APPLIED to economy.json (GameData.asset re-imported, EditMode suite re-run). Rest are recommendations.</t>
        </is>
      </c>
    </row>
    <row r="3">
      <c r="A3" s="46" t="inlineStr">
        <is>
          <t>#</t>
        </is>
      </c>
      <c r="B3" s="46" t="inlineStr">
        <is>
          <t>Constant</t>
        </is>
      </c>
      <c r="C3" s="46" t="inlineStr">
        <is>
          <t>File</t>
        </is>
      </c>
      <c r="D3" s="46" t="inlineStr">
        <is>
          <t>Current</t>
        </is>
      </c>
      <c r="E3" s="46" t="inlineStr">
        <is>
          <t>Recommended</t>
        </is>
      </c>
      <c r="F3" s="46" t="inlineStr">
        <is>
          <t>Rationale</t>
        </is>
      </c>
      <c r="G3" s="46" t="inlineStr">
        <is>
          <t>Confidence</t>
        </is>
      </c>
    </row>
    <row r="4">
      <c r="A4" s="52" t="inlineStr">
        <is>
          <t>1</t>
        </is>
      </c>
      <c r="B4" s="52" t="inlineStr">
        <is>
          <t>familiarXp.kinshipDivisor</t>
        </is>
      </c>
      <c r="C4" s="52" t="inlineStr">
        <is>
          <t>economy.json</t>
        </is>
      </c>
      <c r="D4" s="52" t="inlineStr">
        <is>
          <t>1000</t>
        </is>
      </c>
      <c r="E4" s="54" t="inlineStr">
        <is>
          <t>12000 (APPLIED)</t>
        </is>
      </c>
      <c r="F4" s="52" t="inlineStr">
        <is>
          <t>Shipping 1000 banks G1 Kinship 7 at first fold; target ~2 (design #4). G1 run XP ~50k (8h active + 6h offline). divisor=runXp/target^2 -&gt; ~12,600. Clear over-generosity.</t>
        </is>
      </c>
      <c r="G4" s="52" t="inlineStr">
        <is>
          <t>Med-High</t>
        </is>
      </c>
    </row>
    <row r="5">
      <c r="A5" s="52" t="inlineStr">
        <is>
          <t>2</t>
        </is>
      </c>
      <c r="B5" s="52" t="inlineStr">
        <is>
          <t>verdure.renownDivisor</t>
        </is>
      </c>
      <c r="C5" s="52" t="inlineStr">
        <is>
          <t>economy.json</t>
        </is>
      </c>
      <c r="D5" s="52" t="inlineStr">
        <is>
          <t>5000</t>
        </is>
      </c>
      <c r="E5" s="54" t="inlineStr">
        <is>
          <t>2800 (APPLIED)</t>
        </is>
      </c>
      <c r="F5" s="52" t="inlineStr">
        <is>
          <t>Corrected Renown-at-fold ~195k banks only Verdure 6 at 5000; target ~10 (design #8). divisor=Renown/target^2 -&gt; ~1,950. Sensitive to familiar count/offline cap.</t>
        </is>
      </c>
      <c r="G5" s="52" t="inlineStr">
        <is>
          <t>Medium</t>
        </is>
      </c>
    </row>
    <row r="6">
      <c r="A6" s="52" t="inlineStr">
        <is>
          <t>3</t>
        </is>
      </c>
      <c r="B6" s="52" t="inlineStr">
        <is>
          <t>replant.growth</t>
        </is>
      </c>
      <c r="C6" s="52" t="inlineStr">
        <is>
          <t>economy.json</t>
        </is>
      </c>
      <c r="D6" s="52" t="inlineStr">
        <is>
          <t>1.5</t>
        </is>
      </c>
      <c r="E6" s="53" t="inlineStr">
        <is>
          <t>1.5 (keep)</t>
        </is>
      </c>
      <c r="F6" s="52" t="inlineStr">
        <is>
          <t>Already matches ECO-1 Finding #1 (raise r to 1.5-1.6 so late richness re-enters the 10-90 min band). Only the sheet Assumptions cell (1.35) was stale - now updated.</t>
        </is>
      </c>
      <c r="G6" s="52" t="inlineStr">
        <is>
          <t>High</t>
        </is>
      </c>
    </row>
    <row r="7">
      <c r="A7" s="52" t="inlineStr">
        <is>
          <t>4</t>
        </is>
      </c>
      <c r="B7" s="52" t="inlineStr">
        <is>
          <t>familiarXp.xpPerSecond</t>
        </is>
      </c>
      <c r="C7" s="52" t="inlineStr">
        <is>
          <t>economy.json</t>
        </is>
      </c>
      <c r="D7" s="52" t="inlineStr">
        <is>
          <t>1.0</t>
        </is>
      </c>
      <c r="E7" s="53" t="inlineStr">
        <is>
          <t>1.0 (keep)</t>
        </is>
      </c>
      <c r="F7" s="52" t="inlineStr">
        <is>
          <t>Well-tuned for powerup cadence: level 5 (first powerup) at ~426 XP = ~7 min stationed. Do NOT retune for Renown; retune renownDivisor instead.</t>
        </is>
      </c>
      <c r="G7" s="52" t="inlineStr">
        <is>
          <t>High</t>
        </is>
      </c>
    </row>
    <row r="8">
      <c r="A8" s="52" t="inlineStr">
        <is>
          <t>5</t>
        </is>
      </c>
      <c r="B8" s="52" t="inlineStr">
        <is>
          <t>xp.gatherPerUnit (DESIGN CALL resolved)</t>
        </is>
      </c>
      <c r="C8" s="52" t="inlineStr">
        <is>
          <t>Familiars.cs:146</t>
        </is>
      </c>
      <c r="D8" s="52" t="inlineStr">
        <is>
          <t>1</t>
        </is>
      </c>
      <c r="E8" s="54" t="inlineStr">
        <is>
          <t>3 (APPLIED)</t>
        </is>
      </c>
      <c r="F8" s="52" t="inlineStr">
        <is>
          <t>Mo's call: raise gatherPerUnit rather than cut familiar-XP crediting ('they level fast already'). 1 -&gt; 3 makes gathering ~46% of Renown (co-equal with familiar XP's 52%; was 22%/76%). Recipe gates (max L5) already met in minutes, so progression unaffected. 4-5 tips it gathering-led if wanted later.</t>
        </is>
      </c>
      <c r="G8" s="54" t="inlineStr">
        <is>
          <t>Applied</t>
        </is>
      </c>
    </row>
    <row r="9">
      <c r="A9" s="52" t="inlineStr">
        <is>
          <t>6</t>
        </is>
      </c>
      <c r="B9" s="52" t="inlineStr">
        <is>
          <t>gifts.pileGoods</t>
        </is>
      </c>
      <c r="C9" s="52" t="inlineStr">
        <is>
          <t>economy.json</t>
        </is>
      </c>
      <c r="D9" s="52" t="inlineStr">
        <is>
          <t>10</t>
        </is>
      </c>
      <c r="E9" s="53" t="inlineStr">
        <is>
          <t>10-25</t>
        </is>
      </c>
      <c r="F9" s="52" t="inlineStr">
        <is>
          <t>Gift unlocks at verse-1 completion (~30 min); 10 units of a resource you produce hundreds/hr of is instant, so the 3rd familiar lands ~30 min vs the 45-60 min target (#2). Accept 30 min or nudge to ~25. Low impact.</t>
        </is>
      </c>
      <c r="G9" s="52" t="inlineStr">
        <is>
          <t>Low - playtest</t>
        </is>
      </c>
    </row>
    <row r="10">
      <c r="A10" s="52" t="inlineStr">
        <is>
          <t>7</t>
        </is>
      </c>
      <c r="B10" s="52" t="inlineStr">
        <is>
          <t>Roosts comfort (perLevel)</t>
        </is>
      </c>
      <c r="C10" s="52" t="inlineStr">
        <is>
          <t>buildings.json</t>
        </is>
      </c>
      <c r="D10" s="52" t="inlineStr">
        <is>
          <t>0.1</t>
        </is>
      </c>
      <c r="E10" s="53" t="inlineStr">
        <is>
          <t>0.1 (watch)</t>
        </is>
      </c>
      <c r="F10" s="52" t="inlineStr">
        <is>
          <t>+10%/level familiar XP. Because familiar XP dominates Renown, roost levels compound Verdure, not just gathering - a Verdure engine at high levels. OK at MVP; revisit if roosts scale.</t>
        </is>
      </c>
      <c r="G10" s="52" t="inlineStr">
        <is>
          <t>Medium</t>
        </is>
      </c>
    </row>
    <row r="11">
      <c r="A11" s="52" t="inlineStr">
        <is>
          <t>8</t>
        </is>
      </c>
      <c r="B11" s="52" t="inlineStr">
        <is>
          <t>crafting.baseCraftSeconds</t>
        </is>
      </c>
      <c r="C11" s="52" t="inlineStr">
        <is>
          <t>economy.json</t>
        </is>
      </c>
      <c r="D11" s="52" t="inlineStr">
        <is>
          <t>5</t>
        </is>
      </c>
      <c r="E11" s="53" t="inlineStr">
        <is>
          <t>keep + per-recipe</t>
        </is>
      </c>
      <c r="F11" s="52" t="inlineStr">
        <is>
          <t>Throughput lever, outside the macro model. Target: first recipe cooked ~20 min (#2). Uniform 5s is a placeholder; per-recipe times are the real fix in a crafting-focused pass.</t>
        </is>
      </c>
      <c r="G11" s="52" t="inlineStr">
        <is>
          <t>Low - playtest</t>
        </is>
      </c>
    </row>
    <row r="12">
      <c r="A12" s="52" t="inlineStr">
        <is>
          <t>9</t>
        </is>
      </c>
      <c r="B12" s="52" t="inlineStr">
        <is>
          <t>Folio spread sizes</t>
        </is>
      </c>
      <c r="C12" s="52" t="inlineStr">
        <is>
          <t>folio.json</t>
        </is>
      </c>
      <c r="D12" s="52" t="inlineStr">
        <is>
          <t>2-4 entries</t>
        </is>
      </c>
      <c r="E12" s="53" t="inlineStr">
        <is>
          <t>4-8 entries</t>
        </is>
      </c>
      <c r="F12" s="52" t="inlineStr">
        <is>
          <t>Design #6 wants spreads of 4-8; shipped 2-4. Content + balance task, tracked separately from constants.</t>
        </is>
      </c>
      <c r="G12" s="52" t="inlineStr">
        <is>
          <t>Med (separate)</t>
        </is>
      </c>
    </row>
    <row r="13">
      <c r="A13" s="52" t="inlineStr">
        <is>
          <t>10</t>
        </is>
      </c>
      <c r="B13" s="52" t="inlineStr">
        <is>
          <t>quality.pristineValueMult / amber.* / observation.baseSketchesPerHour</t>
        </is>
      </c>
      <c r="C13" s="52" t="inlineStr">
        <is>
          <t>economy.json</t>
        </is>
      </c>
      <c r="D13" s="52" t="inlineStr">
        <is>
          <t>10 / (0.06,2,4,15) / 0.25</t>
        </is>
      </c>
      <c r="E13" s="53" t="inlineStr">
        <is>
          <t>hold</t>
        </is>
      </c>
      <c r="F13" s="52" t="inlineStr">
        <is>
          <t>Premium/prestige-adjacent knobs with no macro-model anchor and no playtest data yet. Leave until a session with real per-resource telemetry (ECO-1 Finding #6).</t>
        </is>
      </c>
      <c r="G13" s="52" t="inlineStr">
        <is>
          <t>Low - hold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2026-07-18T11:46:42Z</dcterms:created>
  <dcterms:modified xsi:type="dcterms:W3CDTF">2026-07-22T02:32:38Z</dcterms:modified>
  <cp:revision>0</cp:revision>
</cp:coreProperties>
</file>
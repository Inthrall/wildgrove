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un Timeline" sheetId="2" state="visible" r:id="rId4"/>
    <sheet name="SinkLadder" sheetId="3" state="visible" r:id="rId5"/>
    <sheet name="Offline Check" sheetId="4" state="visible" r:id="rId6"/>
    <sheet name="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<sst xmlns="http://schemas.openxmlformats.org/spreadsheetml/2006/main" count="147" uniqueCount="132">
  <si>
    <t xml:space="preserve">Wildgrove v0.7 — Economy Seed Model (ECO-1)</t>
  </si>
  <si>
    <t xml:space="preserve">Legend: BLUE cells = edit me (inputs/levers) · black = formulas · yellow fill = key tunables the doc references. All numbers are placeholders to be moved in balancing.</t>
  </si>
  <si>
    <t xml:space="preserve">Gathering</t>
  </si>
  <si>
    <t xml:space="preserve">g0 — base gather per agent per hour (tool tier 0)</t>
  </si>
  <si>
    <t xml:space="preserve">Goods/hr. Doc §9: tuned UP from flock-era rates for a small crew.</t>
  </si>
  <si>
    <t xml:space="preserve">Active uplift (Tending bursts, avg while playing)</t>
  </si>
  <si>
    <t xml:space="preserve">Multiplier on active hours only.</t>
  </si>
  <si>
    <t xml:space="preserve">Renown &amp; prestige</t>
  </si>
  <si>
    <t xml:space="preserve">Renown factor — Renown per good handled</t>
  </si>
  <si>
    <t xml:space="preserve">Warden craft XP + familiar XP per good, blended. Renown/hr = yield/hr x this.</t>
  </si>
  <si>
    <t xml:space="preserve">Offering credit total, run 1 (trade value)</t>
  </si>
  <si>
    <t xml:space="preserve">Sum of chosen verse slots across 4 verses; authored in rites.json later. Credited at fold row.</t>
  </si>
  <si>
    <t xml:space="preserve">Verdure target at first fold</t>
  </si>
  <si>
    <t xml:space="preserve">Doc pacing target: ~10 Verdure, Day 1-2.</t>
  </si>
  <si>
    <t xml:space="preserve">Familiar XP per hour at post (postMatch=1)</t>
  </si>
  <si>
    <t xml:space="preserve">famXP/sec x 3600, level-agnostic average.</t>
  </si>
  <si>
    <t xml:space="preserve">Kinship target for Gatherer 1 at first fold</t>
  </si>
  <si>
    <t xml:space="preserve">First fold should visibly bank Kinship without trivialising it.</t>
  </si>
  <si>
    <t xml:space="preserve">Sinks</t>
  </si>
  <si>
    <t xml:space="preserve">Sink share — income available to discretionary sinks</t>
  </si>
  <si>
    <t xml:space="preserve">Rest feeds offerings, kit, and consumption. Hour-six proof uses this.</t>
  </si>
  <si>
    <t xml:space="preserve">Replant base cost (node's own resource)</t>
  </si>
  <si>
    <t xml:space="preserve">replantCost = base x r^L</t>
  </si>
  <si>
    <t xml:space="preserve">Replant ratio r</t>
  </si>
  <si>
    <t xml:space="preserve">Building bundle base (goods value)</t>
  </si>
  <si>
    <t xml:space="preserve">buildingCost(L) = base x 1.25^L, paid in materials.</t>
  </si>
  <si>
    <t xml:space="preserve">Building ratio</t>
  </si>
  <si>
    <t xml:space="preserve">Provisions — Zone 2 bundle value</t>
  </si>
  <si>
    <t xml:space="preserve">Trail Map bundles, authored per zone.</t>
  </si>
  <si>
    <t xml:space="preserve">Provisions — Zone 3 bundle value</t>
  </si>
  <si>
    <t xml:space="preserve">Provisions — Zone 4 bundle value</t>
  </si>
  <si>
    <t xml:space="preserve">Tool batch value — copper</t>
  </si>
  <si>
    <t xml:space="preserve">Ingot batch trade value (5 ingots).</t>
  </si>
  <si>
    <t xml:space="preserve">Tool batch value — bronze</t>
  </si>
  <si>
    <t xml:space="preserve">Tool batch value — iron</t>
  </si>
  <si>
    <t xml:space="preserve">Planter — frame / bed / trellis values</t>
  </si>
  <si>
    <t xml:space="preserve">Frame. Bed=180, trellis=260 on SinkLadder.</t>
  </si>
  <si>
    <t xml:space="preserve">Meaningful-purchase band — low (minutes)</t>
  </si>
  <si>
    <t xml:space="preserve">Cheaper than this = trivial; not by itself 'meaningful'.</t>
  </si>
  <si>
    <t xml:space="preserve">Meaningful-purchase band — high (minutes)</t>
  </si>
  <si>
    <t xml:space="preserve">Dearer than this with nothing else in band = a wall.</t>
  </si>
  <si>
    <t xml:space="preserve">Offline &amp; the trail post (SP-1: balanced for eventual 2 posts; wanderers cover an unheld trail at x0.5)</t>
  </si>
  <si>
    <t xml:space="preserve">Evening tool multiplier (end of Day 1)</t>
  </si>
  <si>
    <t xml:space="preserve">Flint+copper by bedtime.</t>
  </si>
  <si>
    <t xml:space="preserve">Evening richness multiplier</t>
  </si>
  <si>
    <t xml:space="preserve">Trail post factor — share of 4 ground-gatherers' demand one post hauls</t>
  </si>
  <si>
    <t xml:space="preserve">DECIDED stance: one held post slightly under-hauls a full ground crew at like tier; Spare Wing (2nd post) relieves it. Hauling equipment assumes 2 posts eventually exist. Unheld trail: wanderers move x0.5 of one post.</t>
  </si>
  <si>
    <t xml:space="preserve">Offline cap — base / Store L1 / Store L2 (hours)</t>
  </si>
  <si>
    <t xml:space="preserve">6 and 8 used on Offline sheet.</t>
  </si>
  <si>
    <t xml:space="preserve">Run 1 timeline — 8 active-hour blocks across Day 1–2 (overnight between H3 and H4)</t>
  </si>
  <si>
    <t xml:space="preserve">Hour</t>
  </si>
  <si>
    <t xml:space="preserve">Agents</t>
  </si>
  <si>
    <t xml:space="preserve">Tool mult</t>
  </si>
  <si>
    <t xml:space="preserve">Richness lvl</t>
  </si>
  <si>
    <t xml:space="preserve">Richness mult</t>
  </si>
  <si>
    <t xml:space="preserve">Planter mult</t>
  </si>
  <si>
    <t xml:space="preserve">Yield / hr</t>
  </si>
  <si>
    <t xml:space="preserve">Cum goods</t>
  </si>
  <si>
    <t xml:space="preserve">Renown / hr</t>
  </si>
  <si>
    <t xml:space="preserve">Cum Renown</t>
  </si>
  <si>
    <t xml:space="preserve">Notes</t>
  </si>
  <si>
    <t xml:space="preserve">H1 (Day 1)</t>
  </si>
  <si>
    <t xml:space="preserve">Warden+G1; flint at ~4 min; Zone 2 map end of hour</t>
  </si>
  <si>
    <t xml:space="preserve">H2</t>
  </si>
  <si>
    <t xml:space="preserve">Verse 1 done ~30 min in -&gt; gift event -&gt; G2; copper mid-hour; Zone 3 map</t>
  </si>
  <si>
    <t xml:space="preserve">H3</t>
  </si>
  <si>
    <t xml:space="preserve">First planters; end of Day 1 session</t>
  </si>
  <si>
    <t xml:space="preserve">H4 (Day 2)</t>
  </si>
  <si>
    <t xml:space="preserve">Post-overnight (see Offline sheet)</t>
  </si>
  <si>
    <t xml:space="preserve">H5</t>
  </si>
  <si>
    <t xml:space="preserve">Bronze lands; Zone 4 map</t>
  </si>
  <si>
    <t xml:space="preserve">H6</t>
  </si>
  <si>
    <t xml:space="preserve">THE HOUR-SIX PROOF ROW (SinkLadder)</t>
  </si>
  <si>
    <t xml:space="preserve">H7</t>
  </si>
  <si>
    <t xml:space="preserve">Iron on some crafts</t>
  </si>
  <si>
    <t xml:space="preserve">H8 (fold)</t>
  </si>
  <si>
    <t xml:space="preserve">Rite completes; offering credit lands; Migration</t>
  </si>
  <si>
    <t xml:space="preserve">Prestige solve (formulas — these SET the doc's constants)</t>
  </si>
  <si>
    <t xml:space="preserve">Lifetime Renown at fold</t>
  </si>
  <si>
    <t xml:space="preserve">K (Verdure) to hit target at fold</t>
  </si>
  <si>
    <t xml:space="preserve">verdureGain = FLOOR(SQRT(Renown/K)) -&gt; K = Renown/target^2</t>
  </si>
  <si>
    <t xml:space="preserve">G1 run familiar XP (stationed all 8 h + capped offline ~6 h at 40%)</t>
  </si>
  <si>
    <t xml:space="preserve">K_f (Kinship) to hit target for G1</t>
  </si>
  <si>
    <t xml:space="preserve">Check: Verdure at fold with solved K</t>
  </si>
  <si>
    <t xml:space="preserve">Check: G1 Kinship at fold with solved K_f</t>
  </si>
  <si>
    <t xml:space="preserve">Hour-six proof — is there always a meaningful next purchase? (band = 10–90 min of discretionary income)</t>
  </si>
  <si>
    <t xml:space="preserve">Income/hr</t>
  </si>
  <si>
    <t xml:space="preserve">Discr./hr</t>
  </si>
  <si>
    <t xml:space="preserve">Replant next</t>
  </si>
  <si>
    <t xml:space="preserve">Building next</t>
  </si>
  <si>
    <t xml:space="preserve">Tool batch</t>
  </si>
  <si>
    <t xml:space="preserve">Provisions</t>
  </si>
  <si>
    <t xml:space="preserve">Planter next</t>
  </si>
  <si>
    <t xml:space="preserve">-&gt; min</t>
  </si>
  <si>
    <t xml:space="preserve">Verdict</t>
  </si>
  <si>
    <t xml:space="preserve">Sentinel 100,000 = option not available that hour (reads as absurd minutes; ignored by the band unless nothing else exists).</t>
  </si>
  <si>
    <t xml:space="preserve">Verdict meanings: OK = at least one purchase lands in the band. TRIVIAL-ONLY = everything affordable is &lt;10 min (income has outrun the sinks -&gt; raise replant cap / add building levels). WALL = nothing under 90 min (sinks have outrun income).</t>
  </si>
  <si>
    <t xml:space="preserve">Overnight earnings — small crew, v0.11 stationing (assigned gatherers; unheld trail = x0.5 of one post; wanderers x0.5)</t>
  </si>
  <si>
    <t xml:space="preserve">Ground gatherers (assigned)</t>
  </si>
  <si>
    <t xml:space="preserve">Demand / hr</t>
  </si>
  <si>
    <t xml:space="preserve">Trail-post haul cap</t>
  </si>
  <si>
    <t xml:space="preserve">Eff / hr (1 post)</t>
  </si>
  <si>
    <t xml:space="preserve">@4 h cap</t>
  </si>
  <si>
    <t xml:space="preserve">@6 h cap</t>
  </si>
  <si>
    <t xml:space="preserve">@8 h cap</t>
  </si>
  <si>
    <t xml:space="preserve">Note</t>
  </si>
  <si>
    <t xml:space="preserve">2 gatherers (+1 on the trail)</t>
  </si>
  <si>
    <t xml:space="preserve">3 gatherers (+1 on the trail)</t>
  </si>
  <si>
    <t xml:space="preserve">4 gatherers (+1 on the trail)</t>
  </si>
  <si>
    <t xml:space="preserve">haul-capped — assign or wing</t>
  </si>
  <si>
    <t xml:space="preserve">5 gatherers (+1 on the trail)</t>
  </si>
  <si>
    <t xml:space="preserve">With Spare Wing (2 trail posts held)</t>
  </si>
  <si>
    <t xml:space="preserve">4 gatherers, 2 posts held</t>
  </si>
  <si>
    <t xml:space="preserve">the 2nd post relieves the cap — the SP-1 stance</t>
  </si>
  <si>
    <t xml:space="preserve">5 gatherers, 2 posts held</t>
  </si>
  <si>
    <t xml:space="preserve">Benchmark: overnight @6 h vs. Day-2 shopping list (Zone 4 provisions + bronze batch + building L5)</t>
  </si>
  <si>
    <t xml:space="preserve">Shopping list value</t>
  </si>
  <si>
    <t xml:space="preserve">3-agent overnight @6 h covers</t>
  </si>
  <si>
    <t xml:space="preserve">Target: &gt;=1.0x — a night away should fund the morning's plans, not dwarf a week of play.</t>
  </si>
  <si>
    <t xml:space="preserve">Findings — ECO-1 seed model</t>
  </si>
  <si>
    <t xml:space="preserve">1</t>
  </si>
  <si>
    <t xml:space="preserve">Hour-six proof PASSES on defaults: every hour block verdicts OK on the SinkLadder. But the band-holder is the BUILDING line (~20-30 min per level all run), not replanting: a single replant level goes trivial (&lt;10 min) from H2 onward at r=1.35. Recommendation: either raise r toward 1.5-1.6 so late richness levels re-enter the band, or sell replants in multi-level batches - and protect the building lines, because if they starve the whole ladder drifts TRIVIAL-ONLY.</t>
  </si>
  <si>
    <t xml:space="preserve">2</t>
  </si>
  <si>
    <t xml:space="preserve">Solved constants (Run Timeline, yellow): K (Verdure) ~ 425 and K_f (Kinship) ~ 650 at defaults - DERIVED as Renown-at-fold / target^2, not guessed. They recompute automatically when any input moves; adopt the solved values into design/data as starting constants.</t>
  </si>
  <si>
    <t xml:space="preserve">3</t>
  </si>
  <si>
    <t xml:space="preserve">The Rite's Renown share is ~10% of lifetime Renown at defaults (4,000 of ~42,500) - offerings genuinely never tax prestige, but they are not yet a MAJOR contributor either. If the fold forecast should visibly jump on verse completion (the chunky-Renown intent), raise authored offering quantities or the deed/specimen fixed grants.</t>
  </si>
  <si>
    <t xml:space="preserve">4</t>
  </si>
  <si>
    <t xml:space="preserve">Offline is generous within genre norms: 3 assigned gatherers overnight at the 6 h cap earn ~11,200 goods = about 2.4 active hours, covering the Day-2 shopping list ~6x. At 4+ gatherers a single held trail post binds (demand 2,496/hr vs post cap 1,872/hr) - visible haul-capping that makes Spare Wing legible. SP-1 stance encoded: one post = 75% of a 4-gatherer demand; hauling equipment tuned against 2 eventual posts. v0.11 wandering means an unheld trail still moves x0.5 of one post - the model's MIN() shape is unchanged, only the floor rose.</t>
  </si>
  <si>
    <t xml:space="preserve">5</t>
  </si>
  <si>
    <t xml:space="preserve">TRIVIAL-ONLY is the failure mode to watch, not WALL: income compounds (tools x richness x agents) faster than any single sink curve. The two levers are the replant ratio/cap and the bottomless building lines; the four-way goods dilemma (kit/caravan/spirits/land) is what holds late-run tension.</t>
  </si>
  <si>
    <t xml:space="preserve">6</t>
  </si>
  <si>
    <t xml:space="preserve">Everything here is placeholder-by-design: blue cells are the levers. The Phase 3 balance pass should extend this to per-resource detail, the wanderer x0.5 floor, and runs 2-5 for the Rite generator proof.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</si>
</sst>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120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1.2</v>
      </c>
      <c r="C6" s="6" t="s">
        <v>6</v>
      </c>
    </row>
    <row r="7" customFormat="false" ht="15" hidden="false" customHeight="false" outlineLevel="0" collapsed="false">
      <c r="A7" s="3" t="s">
        <v>7</v>
      </c>
      <c r="B7" s="3"/>
      <c r="C7" s="3"/>
    </row>
    <row r="8" customFormat="false" ht="15" hidden="false" customHeight="false" outlineLevel="0" collapsed="false">
      <c r="A8" s="4" t="s">
        <v>8</v>
      </c>
      <c r="B8" s="7" t="n">
        <v>1.2</v>
      </c>
      <c r="C8" s="6" t="s">
        <v>9</v>
      </c>
    </row>
    <row r="9" customFormat="false" ht="15" hidden="false" customHeight="false" outlineLevel="0" collapsed="false">
      <c r="A9" s="4" t="s">
        <v>10</v>
      </c>
      <c r="B9" s="8" t="n">
        <v>4000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5" t="n">
        <v>10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8" t="n">
        <v>250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5" t="n">
        <v>2</v>
      </c>
      <c r="C12" s="6" t="s">
        <v>17</v>
      </c>
    </row>
    <row r="13" customFormat="false" ht="15" hidden="false" customHeight="false" outlineLevel="0" collapsed="false">
      <c r="A13" s="3" t="s">
        <v>18</v>
      </c>
      <c r="B13" s="3"/>
      <c r="C13" s="3"/>
    </row>
    <row r="14" customFormat="false" ht="15" hidden="false" customHeight="false" outlineLevel="0" collapsed="false">
      <c r="A14" s="4" t="s">
        <v>19</v>
      </c>
      <c r="B14" s="9" t="n">
        <v>0.5</v>
      </c>
      <c r="C14" s="6" t="s">
        <v>20</v>
      </c>
    </row>
    <row r="15" customFormat="false" ht="15" hidden="false" customHeight="false" outlineLevel="0" collapsed="false">
      <c r="A15" s="4" t="s">
        <v>21</v>
      </c>
      <c r="B15" s="8" t="n">
        <v>25</v>
      </c>
      <c r="C15" s="6" t="s">
        <v>22</v>
      </c>
    </row>
    <row r="16" customFormat="false" ht="15" hidden="false" customHeight="false" outlineLevel="0" collapsed="false">
      <c r="A16" s="4" t="s">
        <v>23</v>
      </c>
      <c r="B16" s="7" t="n">
        <v>1.35</v>
      </c>
      <c r="C16" s="6"/>
    </row>
    <row r="17" customFormat="false" ht="15" hidden="false" customHeight="false" outlineLevel="0" collapsed="false">
      <c r="A17" s="4" t="s">
        <v>24</v>
      </c>
      <c r="B17" s="8" t="n">
        <v>250</v>
      </c>
      <c r="C17" s="6" t="s">
        <v>25</v>
      </c>
    </row>
    <row r="18" customFormat="false" ht="15" hidden="false" customHeight="false" outlineLevel="0" collapsed="false">
      <c r="A18" s="4" t="s">
        <v>26</v>
      </c>
      <c r="B18" s="7" t="n">
        <v>1.25</v>
      </c>
      <c r="C18" s="6"/>
    </row>
    <row r="19" customFormat="false" ht="15" hidden="false" customHeight="false" outlineLevel="0" collapsed="false">
      <c r="A19" s="4" t="s">
        <v>27</v>
      </c>
      <c r="B19" s="8" t="n">
        <v>80</v>
      </c>
      <c r="C19" s="6" t="s">
        <v>28</v>
      </c>
    </row>
    <row r="20" customFormat="false" ht="15" hidden="false" customHeight="false" outlineLevel="0" collapsed="false">
      <c r="A20" s="4" t="s">
        <v>29</v>
      </c>
      <c r="B20" s="8" t="n">
        <v>300</v>
      </c>
      <c r="C20" s="6"/>
    </row>
    <row r="21" customFormat="false" ht="15" hidden="false" customHeight="false" outlineLevel="0" collapsed="false">
      <c r="A21" s="4" t="s">
        <v>30</v>
      </c>
      <c r="B21" s="8" t="n">
        <v>900</v>
      </c>
      <c r="C21" s="6"/>
    </row>
    <row r="22" customFormat="false" ht="15" hidden="false" customHeight="false" outlineLevel="0" collapsed="false">
      <c r="A22" s="4" t="s">
        <v>31</v>
      </c>
      <c r="B22" s="8" t="n">
        <v>60</v>
      </c>
      <c r="C22" s="6" t="s">
        <v>32</v>
      </c>
    </row>
    <row r="23" customFormat="false" ht="15" hidden="false" customHeight="false" outlineLevel="0" collapsed="false">
      <c r="A23" s="4" t="s">
        <v>33</v>
      </c>
      <c r="B23" s="8" t="n">
        <v>140</v>
      </c>
      <c r="C23" s="6"/>
    </row>
    <row r="24" customFormat="false" ht="15" hidden="false" customHeight="false" outlineLevel="0" collapsed="false">
      <c r="A24" s="4" t="s">
        <v>34</v>
      </c>
      <c r="B24" s="8" t="n">
        <v>320</v>
      </c>
      <c r="C24" s="6"/>
    </row>
    <row r="25" customFormat="false" ht="15" hidden="false" customHeight="false" outlineLevel="0" collapsed="false">
      <c r="A25" s="4" t="s">
        <v>35</v>
      </c>
      <c r="B25" s="8" t="n">
        <v>120</v>
      </c>
      <c r="C25" s="6" t="s">
        <v>36</v>
      </c>
    </row>
    <row r="26" customFormat="false" ht="15" hidden="false" customHeight="false" outlineLevel="0" collapsed="false">
      <c r="A26" s="4" t="s">
        <v>37</v>
      </c>
      <c r="B26" s="8" t="n">
        <v>10</v>
      </c>
      <c r="C26" s="6" t="s">
        <v>38</v>
      </c>
    </row>
    <row r="27" customFormat="false" ht="15" hidden="false" customHeight="false" outlineLevel="0" collapsed="false">
      <c r="A27" s="4" t="s">
        <v>39</v>
      </c>
      <c r="B27" s="8" t="n">
        <v>90</v>
      </c>
      <c r="C27" s="6" t="s">
        <v>40</v>
      </c>
    </row>
    <row r="28" customFormat="false" ht="15" hidden="false" customHeight="false" outlineLevel="0" collapsed="false">
      <c r="A28" s="3" t="s">
        <v>41</v>
      </c>
      <c r="B28" s="3"/>
      <c r="C28" s="3"/>
    </row>
    <row r="29" customFormat="false" ht="15" hidden="false" customHeight="false" outlineLevel="0" collapsed="false">
      <c r="A29" s="4" t="s">
        <v>42</v>
      </c>
      <c r="B29" s="8" t="n">
        <v>4</v>
      </c>
      <c r="C29" s="6" t="s">
        <v>43</v>
      </c>
    </row>
    <row r="30" customFormat="false" ht="15" hidden="false" customHeight="false" outlineLevel="0" collapsed="false">
      <c r="A30" s="4" t="s">
        <v>44</v>
      </c>
      <c r="B30" s="7" t="n">
        <v>1.3</v>
      </c>
      <c r="C30" s="6"/>
    </row>
    <row r="31" customFormat="false" ht="32.8" hidden="false" customHeight="false" outlineLevel="0" collapsed="false">
      <c r="A31" s="4" t="s">
        <v>45</v>
      </c>
      <c r="B31" s="7" t="n">
        <v>0.75</v>
      </c>
      <c r="C31" s="6" t="s">
        <v>46</v>
      </c>
    </row>
    <row r="32" customFormat="false" ht="15" hidden="false" customHeight="false" outlineLevel="0" collapsed="false">
      <c r="A32" s="4" t="s">
        <v>47</v>
      </c>
      <c r="B32" s="8" t="n">
        <v>4</v>
      </c>
      <c r="C32" s="6" t="s">
        <v>48</v>
      </c>
    </row>
  </sheetData>
  <mergeCells count="5">
    <mergeCell ref="A2:C2"/>
    <mergeCell ref="A4:C4"/>
    <mergeCell ref="A7:C7"/>
    <mergeCell ref="A13:C13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6.15" hidden="false" customHeight="false" outlineLevel="0" collapsed="false">
      <c r="A1" s="1" t="s">
        <v>49</v>
      </c>
    </row>
    <row r="3" customFormat="false" ht="15" hidden="false" customHeight="false" outlineLevel="0" collapsed="false">
      <c r="A3" s="10" t="s">
        <v>50</v>
      </c>
      <c r="B3" s="10" t="s">
        <v>51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58</v>
      </c>
      <c r="J3" s="10" t="s">
        <v>59</v>
      </c>
      <c r="K3" s="10" t="s">
        <v>60</v>
      </c>
    </row>
    <row r="4" customFormat="false" ht="22.35" hidden="false" customHeight="false" outlineLevel="0" collapsed="false">
      <c r="A4" s="4" t="s">
        <v>61</v>
      </c>
      <c r="B4" s="11" t="n">
        <v>2</v>
      </c>
      <c r="C4" s="11" t="n">
        <v>2</v>
      </c>
      <c r="D4" s="11" t="n">
        <v>1</v>
      </c>
      <c r="E4" s="12" t="n">
        <f aca="false">1+0.1*D4</f>
        <v>1.1</v>
      </c>
      <c r="F4" s="7" t="n">
        <v>1</v>
      </c>
      <c r="G4" s="13" t="n">
        <f aca="false">B4*Assumptions!$B$5*C4*E4*F4*Assumptions!$B$6</f>
        <v>633.6</v>
      </c>
      <c r="H4" s="13" t="n">
        <f aca="false">G4</f>
        <v>633.6</v>
      </c>
      <c r="I4" s="13" t="n">
        <f aca="false">G4*Assumptions!$B$8</f>
        <v>760.32</v>
      </c>
      <c r="J4" s="13" t="n">
        <f aca="false">I4</f>
        <v>760.32</v>
      </c>
      <c r="K4" s="6" t="s">
        <v>62</v>
      </c>
    </row>
    <row r="5" customFormat="false" ht="22.35" hidden="false" customHeight="false" outlineLevel="0" collapsed="false">
      <c r="A5" s="4" t="s">
        <v>63</v>
      </c>
      <c r="B5" s="11" t="n">
        <v>3</v>
      </c>
      <c r="C5" s="11" t="n">
        <v>3</v>
      </c>
      <c r="D5" s="11" t="n">
        <v>2</v>
      </c>
      <c r="E5" s="12" t="n">
        <f aca="false">1+0.1*D5</f>
        <v>1.2</v>
      </c>
      <c r="F5" s="7" t="n">
        <v>1</v>
      </c>
      <c r="G5" s="13" t="n">
        <f aca="false">B5*Assumptions!$B$5*C5*E5*F5*Assumptions!$B$6</f>
        <v>1555.2</v>
      </c>
      <c r="H5" s="13" t="n">
        <f aca="false">H4+G5</f>
        <v>2188.8</v>
      </c>
      <c r="I5" s="13" t="n">
        <f aca="false">G5*Assumptions!$B$8</f>
        <v>1866.24</v>
      </c>
      <c r="J5" s="13" t="n">
        <f aca="false">J4+I5</f>
        <v>2626.56</v>
      </c>
      <c r="K5" s="6" t="s">
        <v>64</v>
      </c>
    </row>
    <row r="6" customFormat="false" ht="15" hidden="false" customHeight="false" outlineLevel="0" collapsed="false">
      <c r="A6" s="4" t="s">
        <v>65</v>
      </c>
      <c r="B6" s="11" t="n">
        <v>3</v>
      </c>
      <c r="C6" s="11" t="n">
        <v>4</v>
      </c>
      <c r="D6" s="11" t="n">
        <v>3</v>
      </c>
      <c r="E6" s="12" t="n">
        <f aca="false">1+0.1*D6</f>
        <v>1.3</v>
      </c>
      <c r="F6" s="7" t="n">
        <v>1.1</v>
      </c>
      <c r="G6" s="13" t="n">
        <f aca="false">B6*Assumptions!$B$5*C6*E6*F6*Assumptions!$B$6</f>
        <v>2471.04</v>
      </c>
      <c r="H6" s="13" t="n">
        <f aca="false">H5+G6</f>
        <v>4659.84</v>
      </c>
      <c r="I6" s="13" t="n">
        <f aca="false">G6*Assumptions!$B$8</f>
        <v>2965.248</v>
      </c>
      <c r="J6" s="13" t="n">
        <f aca="false">J5+I6</f>
        <v>5591.808</v>
      </c>
      <c r="K6" s="6" t="s">
        <v>66</v>
      </c>
    </row>
    <row r="7" customFormat="false" ht="15" hidden="false" customHeight="false" outlineLevel="0" collapsed="false">
      <c r="A7" s="4" t="s">
        <v>67</v>
      </c>
      <c r="B7" s="11" t="n">
        <v>3</v>
      </c>
      <c r="C7" s="11" t="n">
        <v>4</v>
      </c>
      <c r="D7" s="11" t="n">
        <v>4</v>
      </c>
      <c r="E7" s="12" t="n">
        <f aca="false">1+0.1*D7</f>
        <v>1.4</v>
      </c>
      <c r="F7" s="7" t="n">
        <v>1.15</v>
      </c>
      <c r="G7" s="13" t="n">
        <f aca="false">B7*Assumptions!$B$5*C7*E7*F7*Assumptions!$B$6</f>
        <v>2782.08</v>
      </c>
      <c r="H7" s="13" t="n">
        <f aca="false">H6+G7</f>
        <v>7441.92</v>
      </c>
      <c r="I7" s="13" t="n">
        <f aca="false">G7*Assumptions!$B$8</f>
        <v>3338.496</v>
      </c>
      <c r="J7" s="13" t="n">
        <f aca="false">J6+I7</f>
        <v>8930.304</v>
      </c>
      <c r="K7" s="6" t="s">
        <v>68</v>
      </c>
    </row>
    <row r="8" customFormat="false" ht="15" hidden="false" customHeight="false" outlineLevel="0" collapsed="false">
      <c r="A8" s="4" t="s">
        <v>69</v>
      </c>
      <c r="B8" s="11" t="n">
        <v>3</v>
      </c>
      <c r="C8" s="11" t="n">
        <v>6</v>
      </c>
      <c r="D8" s="11" t="n">
        <v>5</v>
      </c>
      <c r="E8" s="12" t="n">
        <f aca="false">1+0.1*D8</f>
        <v>1.5</v>
      </c>
      <c r="F8" s="7" t="n">
        <v>1.2</v>
      </c>
      <c r="G8" s="13" t="n">
        <f aca="false">B8*Assumptions!$B$5*C8*E8*F8*Assumptions!$B$6</f>
        <v>4665.6</v>
      </c>
      <c r="H8" s="13" t="n">
        <f aca="false">H7+G8</f>
        <v>12107.52</v>
      </c>
      <c r="I8" s="13" t="n">
        <f aca="false">G8*Assumptions!$B$8</f>
        <v>5598.72</v>
      </c>
      <c r="J8" s="13" t="n">
        <f aca="false">J7+I8</f>
        <v>14529.024</v>
      </c>
      <c r="K8" s="6" t="s">
        <v>70</v>
      </c>
    </row>
    <row r="9" customFormat="false" ht="22.35" hidden="false" customHeight="false" outlineLevel="0" collapsed="false">
      <c r="A9" s="14" t="s">
        <v>71</v>
      </c>
      <c r="B9" s="11" t="n">
        <v>3</v>
      </c>
      <c r="C9" s="11" t="n">
        <v>6</v>
      </c>
      <c r="D9" s="11" t="n">
        <v>6</v>
      </c>
      <c r="E9" s="12" t="n">
        <f aca="false">1+0.1*D9</f>
        <v>1.6</v>
      </c>
      <c r="F9" s="7" t="n">
        <v>1.25</v>
      </c>
      <c r="G9" s="13" t="n">
        <f aca="false">B9*Assumptions!$B$5*C9*E9*F9*Assumptions!$B$6</f>
        <v>5184</v>
      </c>
      <c r="H9" s="13" t="n">
        <f aca="false">H8+G9</f>
        <v>17291.52</v>
      </c>
      <c r="I9" s="13" t="n">
        <f aca="false">G9*Assumptions!$B$8</f>
        <v>6220.8</v>
      </c>
      <c r="J9" s="13" t="n">
        <f aca="false">J8+I9</f>
        <v>20749.824</v>
      </c>
      <c r="K9" s="6" t="s">
        <v>72</v>
      </c>
    </row>
    <row r="10" customFormat="false" ht="15" hidden="false" customHeight="false" outlineLevel="0" collapsed="false">
      <c r="A10" s="4" t="s">
        <v>73</v>
      </c>
      <c r="B10" s="11" t="n">
        <v>3</v>
      </c>
      <c r="C10" s="11" t="n">
        <v>8</v>
      </c>
      <c r="D10" s="11" t="n">
        <v>6</v>
      </c>
      <c r="E10" s="12" t="n">
        <f aca="false">1+0.1*D10</f>
        <v>1.6</v>
      </c>
      <c r="F10" s="7" t="n">
        <v>1.3</v>
      </c>
      <c r="G10" s="13" t="n">
        <f aca="false">B10*Assumptions!$B$5*C10*E10*F10*Assumptions!$B$6</f>
        <v>7188.48</v>
      </c>
      <c r="H10" s="13" t="n">
        <f aca="false">H9+G10</f>
        <v>24480</v>
      </c>
      <c r="I10" s="13" t="n">
        <f aca="false">G10*Assumptions!$B$8</f>
        <v>8626.176</v>
      </c>
      <c r="J10" s="13" t="n">
        <f aca="false">J9+I10</f>
        <v>29376</v>
      </c>
      <c r="K10" s="6" t="s">
        <v>74</v>
      </c>
    </row>
    <row r="11" customFormat="false" ht="22.35" hidden="false" customHeight="false" outlineLevel="0" collapsed="false">
      <c r="A11" s="14" t="s">
        <v>75</v>
      </c>
      <c r="B11" s="11" t="n">
        <v>3</v>
      </c>
      <c r="C11" s="11" t="n">
        <v>8</v>
      </c>
      <c r="D11" s="11" t="n">
        <v>7</v>
      </c>
      <c r="E11" s="12" t="n">
        <f aca="false">1+0.1*D11</f>
        <v>1.7</v>
      </c>
      <c r="F11" s="7" t="n">
        <v>1.3</v>
      </c>
      <c r="G11" s="13" t="n">
        <f aca="false">B11*Assumptions!$B$5*C11*E11*F11*Assumptions!$B$6</f>
        <v>7637.76</v>
      </c>
      <c r="H11" s="13" t="n">
        <f aca="false">H10+G11</f>
        <v>32117.76</v>
      </c>
      <c r="I11" s="13" t="n">
        <f aca="false">G11*Assumptions!$B$8</f>
        <v>9165.312</v>
      </c>
      <c r="J11" s="13" t="n">
        <f aca="false">J10+I11+Assumptions!$B$9</f>
        <v>42541.312</v>
      </c>
      <c r="K11" s="6" t="s">
        <v>76</v>
      </c>
    </row>
    <row r="13" customFormat="false" ht="15" hidden="false" customHeight="false" outlineLevel="0" collapsed="false">
      <c r="A13" s="15" t="s">
        <v>77</v>
      </c>
    </row>
    <row r="14" customFormat="false" ht="15" hidden="false" customHeight="false" outlineLevel="0" collapsed="false">
      <c r="A14" s="4" t="s">
        <v>78</v>
      </c>
      <c r="B14" s="16" t="n">
        <f aca="false">J11</f>
        <v>42541.312</v>
      </c>
    </row>
    <row r="15" customFormat="false" ht="15" hidden="false" customHeight="false" outlineLevel="0" collapsed="false">
      <c r="A15" s="4" t="s">
        <v>79</v>
      </c>
      <c r="B15" s="17" t="n">
        <f aca="false">B14/Assumptions!$B$10^2</f>
        <v>425.41312</v>
      </c>
      <c r="C15" s="18" t="s">
        <v>80</v>
      </c>
    </row>
    <row r="16" customFormat="false" ht="15" hidden="false" customHeight="false" outlineLevel="0" collapsed="false">
      <c r="A16" s="4" t="s">
        <v>81</v>
      </c>
      <c r="B16" s="13" t="n">
        <f aca="false">Assumptions!$B$11*8+Assumptions!$B$11*6*0.4</f>
        <v>2600</v>
      </c>
    </row>
    <row r="17" customFormat="false" ht="15" hidden="false" customHeight="false" outlineLevel="0" collapsed="false">
      <c r="A17" s="4" t="s">
        <v>82</v>
      </c>
      <c r="B17" s="17" t="n">
        <f aca="false">B16/Assumptions!$B$12^2</f>
        <v>650</v>
      </c>
    </row>
    <row r="18" customFormat="false" ht="15" hidden="false" customHeight="false" outlineLevel="0" collapsed="false">
      <c r="A18" s="4" t="s">
        <v>83</v>
      </c>
      <c r="B18" s="19" t="n">
        <f aca="false">FLOOR(SQRT(B14/B15),1)</f>
        <v>10</v>
      </c>
    </row>
    <row r="19" customFormat="false" ht="15" hidden="false" customHeight="false" outlineLevel="0" collapsed="false">
      <c r="A19" s="4" t="s">
        <v>84</v>
      </c>
      <c r="B19" s="19" t="n">
        <f aca="false">FLOOR(SQRT(B16/B17),1)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3" min="9" style="0" width="11"/>
    <col collapsed="false" customWidth="true" hidden="false" outlineLevel="0" max="14" min="14" style="0" width="14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10" t="s">
        <v>50</v>
      </c>
      <c r="B3" s="10" t="s">
        <v>86</v>
      </c>
      <c r="C3" s="10" t="s">
        <v>87</v>
      </c>
      <c r="D3" s="10" t="s">
        <v>88</v>
      </c>
      <c r="E3" s="10" t="s">
        <v>89</v>
      </c>
      <c r="F3" s="10" t="s">
        <v>90</v>
      </c>
      <c r="G3" s="10" t="s">
        <v>91</v>
      </c>
      <c r="H3" s="10" t="s">
        <v>92</v>
      </c>
      <c r="I3" s="10" t="s">
        <v>93</v>
      </c>
      <c r="J3" s="10" t="s">
        <v>93</v>
      </c>
      <c r="K3" s="10" t="s">
        <v>93</v>
      </c>
      <c r="L3" s="10" t="s">
        <v>93</v>
      </c>
      <c r="M3" s="10" t="s">
        <v>93</v>
      </c>
      <c r="N3" s="10" t="s">
        <v>94</v>
      </c>
    </row>
    <row r="4" customFormat="false" ht="15" hidden="false" customHeight="false" outlineLevel="0" collapsed="false">
      <c r="A4" s="4" t="s">
        <v>61</v>
      </c>
      <c r="B4" s="16" t="n">
        <f aca="false">'Run Timeline'!G4</f>
        <v>633.6</v>
      </c>
      <c r="C4" s="13" t="n">
        <f aca="false">B4*Assumptions!$B$14</f>
        <v>316.8</v>
      </c>
      <c r="D4" s="13" t="n">
        <f aca="false">Assumptions!$B$15*Assumptions!$B$16^'Run Timeline'!D4</f>
        <v>33.75</v>
      </c>
      <c r="E4" s="13" t="n">
        <f aca="false">Assumptions!$B$17*Assumptions!$B$18^1</f>
        <v>312.5</v>
      </c>
      <c r="F4" s="20" t="n">
        <v>100000</v>
      </c>
      <c r="G4" s="13" t="n">
        <f aca="false">Assumptions!$B$19</f>
        <v>80</v>
      </c>
      <c r="H4" s="20" t="n">
        <v>100000</v>
      </c>
      <c r="I4" s="13" t="n">
        <f aca="false">D4/C4*60</f>
        <v>6.39204545454546</v>
      </c>
      <c r="J4" s="13" t="n">
        <f aca="false">E4/C4*60</f>
        <v>59.1856060606061</v>
      </c>
      <c r="K4" s="13" t="n">
        <f aca="false">F4/C4*60</f>
        <v>18939.3939393939</v>
      </c>
      <c r="L4" s="13" t="n">
        <f aca="false">G4/C4*60</f>
        <v>15.1515151515152</v>
      </c>
      <c r="M4" s="13" t="n">
        <f aca="false">H4/C4*60</f>
        <v>18939.3939393939</v>
      </c>
      <c r="N4" s="14" t="str">
        <f aca="false">IF(SUMPRODUCT((I4:M4&gt;=Assumptions!$B$26)*(I4:M4&lt;=Assumptions!$B$27))&gt;0,"OK",IF(SUMPRODUCT((I4:M4&lt;Assumptions!$B$26))&gt;0,"TRIVIAL-ONLY","WALL"))</f>
        <v>OK</v>
      </c>
    </row>
    <row r="5" customFormat="false" ht="15" hidden="false" customHeight="false" outlineLevel="0" collapsed="false">
      <c r="A5" s="4" t="s">
        <v>63</v>
      </c>
      <c r="B5" s="16" t="n">
        <f aca="false">'Run Timeline'!G5</f>
        <v>1555.2</v>
      </c>
      <c r="C5" s="13" t="n">
        <f aca="false">B5*Assumptions!$B$14</f>
        <v>777.6</v>
      </c>
      <c r="D5" s="13" t="n">
        <f aca="false">Assumptions!$B$15*Assumptions!$B$16^'Run Timeline'!D5</f>
        <v>45.5625</v>
      </c>
      <c r="E5" s="13" t="n">
        <f aca="false">Assumptions!$B$17*Assumptions!$B$18^2</f>
        <v>390.625</v>
      </c>
      <c r="F5" s="13" t="n">
        <f aca="false">Assumptions!$B$22</f>
        <v>60</v>
      </c>
      <c r="G5" s="13" t="n">
        <f aca="false">Assumptions!$B$20</f>
        <v>300</v>
      </c>
      <c r="H5" s="20" t="n">
        <v>100000</v>
      </c>
      <c r="I5" s="13" t="n">
        <f aca="false">D5/C5*60</f>
        <v>3.515625</v>
      </c>
      <c r="J5" s="13" t="n">
        <f aca="false">E5/C5*60</f>
        <v>30.1408179012346</v>
      </c>
      <c r="K5" s="13" t="n">
        <f aca="false">F5/C5*60</f>
        <v>4.62962962962963</v>
      </c>
      <c r="L5" s="13" t="n">
        <f aca="false">G5/C5*60</f>
        <v>23.1481481481482</v>
      </c>
      <c r="M5" s="13" t="n">
        <f aca="false">H5/C5*60</f>
        <v>7716.04938271605</v>
      </c>
      <c r="N5" s="14" t="str">
        <f aca="false">IF(SUMPRODUCT((I5:M5&gt;=Assumptions!$B$26)*(I5:M5&lt;=Assumptions!$B$27))&gt;0,"OK",IF(SUMPRODUCT((I5:M5&lt;Assumptions!$B$26))&gt;0,"TRIVIAL-ONLY","WALL"))</f>
        <v>OK</v>
      </c>
    </row>
    <row r="6" customFormat="false" ht="15" hidden="false" customHeight="false" outlineLevel="0" collapsed="false">
      <c r="A6" s="4" t="s">
        <v>65</v>
      </c>
      <c r="B6" s="16" t="n">
        <f aca="false">'Run Timeline'!G6</f>
        <v>2471.04</v>
      </c>
      <c r="C6" s="13" t="n">
        <f aca="false">B6*Assumptions!$B$14</f>
        <v>1235.52</v>
      </c>
      <c r="D6" s="13" t="n">
        <f aca="false">Assumptions!$B$15*Assumptions!$B$16^'Run Timeline'!D6</f>
        <v>61.509375</v>
      </c>
      <c r="E6" s="13" t="n">
        <f aca="false">Assumptions!$B$17*Assumptions!$B$18^3</f>
        <v>488.28125</v>
      </c>
      <c r="F6" s="20" t="n">
        <v>100000</v>
      </c>
      <c r="G6" s="20" t="n">
        <v>100000</v>
      </c>
      <c r="H6" s="8" t="n">
        <v>120</v>
      </c>
      <c r="I6" s="13" t="n">
        <f aca="false">D6/C6*60</f>
        <v>2.98705201048951</v>
      </c>
      <c r="J6" s="13" t="n">
        <f aca="false">E6/C6*60</f>
        <v>23.7121819153069</v>
      </c>
      <c r="K6" s="13" t="n">
        <f aca="false">F6/C6*60</f>
        <v>4856.25485625486</v>
      </c>
      <c r="L6" s="13" t="n">
        <f aca="false">G6/C6*60</f>
        <v>4856.25485625486</v>
      </c>
      <c r="M6" s="13" t="n">
        <f aca="false">H6/C6*60</f>
        <v>5.82750582750583</v>
      </c>
      <c r="N6" s="14" t="str">
        <f aca="false">IF(SUMPRODUCT((I6:M6&gt;=Assumptions!$B$26)*(I6:M6&lt;=Assumptions!$B$27))&gt;0,"OK",IF(SUMPRODUCT((I6:M6&lt;Assumptions!$B$26))&gt;0,"TRIVIAL-ONLY","WALL"))</f>
        <v>OK</v>
      </c>
    </row>
    <row r="7" customFormat="false" ht="15" hidden="false" customHeight="false" outlineLevel="0" collapsed="false">
      <c r="A7" s="4" t="s">
        <v>67</v>
      </c>
      <c r="B7" s="16" t="n">
        <f aca="false">'Run Timeline'!G7</f>
        <v>2782.08</v>
      </c>
      <c r="C7" s="13" t="n">
        <f aca="false">B7*Assumptions!$B$14</f>
        <v>1391.04</v>
      </c>
      <c r="D7" s="13" t="n">
        <f aca="false">Assumptions!$B$15*Assumptions!$B$16^'Run Timeline'!D7</f>
        <v>83.03765625</v>
      </c>
      <c r="E7" s="13" t="n">
        <f aca="false">Assumptions!$B$17*Assumptions!$B$18^4</f>
        <v>610.3515625</v>
      </c>
      <c r="F7" s="20" t="n">
        <v>100000</v>
      </c>
      <c r="G7" s="20" t="n">
        <v>100000</v>
      </c>
      <c r="H7" s="8" t="n">
        <v>180</v>
      </c>
      <c r="I7" s="13" t="n">
        <f aca="false">D7/C7*60</f>
        <v>3.58167944487578</v>
      </c>
      <c r="J7" s="13" t="n">
        <f aca="false">E7/C7*60</f>
        <v>26.3264131513113</v>
      </c>
      <c r="K7" s="13" t="n">
        <f aca="false">F7/C7*60</f>
        <v>4313.31953071084</v>
      </c>
      <c r="L7" s="13" t="n">
        <f aca="false">G7/C7*60</f>
        <v>4313.31953071084</v>
      </c>
      <c r="M7" s="13" t="n">
        <f aca="false">H7/C7*60</f>
        <v>7.76397515527951</v>
      </c>
      <c r="N7" s="14" t="str">
        <f aca="false">IF(SUMPRODUCT((I7:M7&gt;=Assumptions!$B$26)*(I7:M7&lt;=Assumptions!$B$27))&gt;0,"OK",IF(SUMPRODUCT((I7:M7&lt;Assumptions!$B$26))&gt;0,"TRIVIAL-ONLY","WALL"))</f>
        <v>OK</v>
      </c>
    </row>
    <row r="8" customFormat="false" ht="15" hidden="false" customHeight="false" outlineLevel="0" collapsed="false">
      <c r="A8" s="4" t="s">
        <v>69</v>
      </c>
      <c r="B8" s="16" t="n">
        <f aca="false">'Run Timeline'!G8</f>
        <v>4665.6</v>
      </c>
      <c r="C8" s="13" t="n">
        <f aca="false">B8*Assumptions!$B$14</f>
        <v>2332.8</v>
      </c>
      <c r="D8" s="13" t="n">
        <f aca="false">Assumptions!$B$15*Assumptions!$B$16^'Run Timeline'!D8</f>
        <v>112.1008359375</v>
      </c>
      <c r="E8" s="13" t="n">
        <f aca="false">Assumptions!$B$17*Assumptions!$B$18^5</f>
        <v>762.939453125</v>
      </c>
      <c r="F8" s="13" t="n">
        <f aca="false">Assumptions!$B$23</f>
        <v>140</v>
      </c>
      <c r="G8" s="13" t="n">
        <f aca="false">Assumptions!$B$21</f>
        <v>900</v>
      </c>
      <c r="H8" s="20" t="n">
        <v>100000</v>
      </c>
      <c r="I8" s="13" t="n">
        <f aca="false">D8/C8*60</f>
        <v>2.883251953125</v>
      </c>
      <c r="J8" s="13" t="n">
        <f aca="false">E8/C8*60</f>
        <v>19.6229283211163</v>
      </c>
      <c r="K8" s="13" t="n">
        <f aca="false">F8/C8*60</f>
        <v>3.60082304526749</v>
      </c>
      <c r="L8" s="13" t="n">
        <f aca="false">G8/C8*60</f>
        <v>23.1481481481482</v>
      </c>
      <c r="M8" s="13" t="n">
        <f aca="false">H8/C8*60</f>
        <v>2572.01646090535</v>
      </c>
      <c r="N8" s="14" t="str">
        <f aca="false">IF(SUMPRODUCT((I8:M8&gt;=Assumptions!$B$26)*(I8:M8&lt;=Assumptions!$B$27))&gt;0,"OK",IF(SUMPRODUCT((I8:M8&lt;Assumptions!$B$26))&gt;0,"TRIVIAL-ONLY","WALL"))</f>
        <v>OK</v>
      </c>
    </row>
    <row r="9" customFormat="false" ht="15" hidden="false" customHeight="false" outlineLevel="0" collapsed="false">
      <c r="A9" s="14" t="s">
        <v>71</v>
      </c>
      <c r="B9" s="16" t="n">
        <f aca="false">'Run Timeline'!G9</f>
        <v>5184</v>
      </c>
      <c r="C9" s="13" t="n">
        <f aca="false">B9*Assumptions!$B$14</f>
        <v>2592</v>
      </c>
      <c r="D9" s="13" t="n">
        <f aca="false">Assumptions!$B$15*Assumptions!$B$16^'Run Timeline'!D9</f>
        <v>151.336128515625</v>
      </c>
      <c r="E9" s="13" t="n">
        <f aca="false">Assumptions!$B$17*Assumptions!$B$18^6</f>
        <v>953.67431640625</v>
      </c>
      <c r="F9" s="20" t="n">
        <v>100000</v>
      </c>
      <c r="G9" s="20" t="n">
        <v>100000</v>
      </c>
      <c r="H9" s="8" t="n">
        <v>260</v>
      </c>
      <c r="I9" s="13" t="n">
        <f aca="false">D9/C9*60</f>
        <v>3.50315112304688</v>
      </c>
      <c r="J9" s="13" t="n">
        <f aca="false">E9/C9*60</f>
        <v>22.0757943612558</v>
      </c>
      <c r="K9" s="13" t="n">
        <f aca="false">F9/C9*60</f>
        <v>2314.81481481482</v>
      </c>
      <c r="L9" s="13" t="n">
        <f aca="false">G9/C9*60</f>
        <v>2314.81481481482</v>
      </c>
      <c r="M9" s="13" t="n">
        <f aca="false">H9/C9*60</f>
        <v>6.01851851851852</v>
      </c>
      <c r="N9" s="14" t="str">
        <f aca="false">IF(SUMPRODUCT((I9:M9&gt;=Assumptions!$B$26)*(I9:M9&lt;=Assumptions!$B$27))&gt;0,"OK",IF(SUMPRODUCT((I9:M9&lt;Assumptions!$B$26))&gt;0,"TRIVIAL-ONLY","WALL"))</f>
        <v>OK</v>
      </c>
    </row>
    <row r="10" customFormat="false" ht="15" hidden="false" customHeight="false" outlineLevel="0" collapsed="false">
      <c r="A10" s="4" t="s">
        <v>73</v>
      </c>
      <c r="B10" s="16" t="n">
        <f aca="false">'Run Timeline'!G10</f>
        <v>7188.48</v>
      </c>
      <c r="C10" s="13" t="n">
        <f aca="false">B10*Assumptions!$B$14</f>
        <v>3594.24</v>
      </c>
      <c r="D10" s="13" t="n">
        <f aca="false">Assumptions!$B$15*Assumptions!$B$16^'Run Timeline'!D10</f>
        <v>151.336128515625</v>
      </c>
      <c r="E10" s="13" t="n">
        <f aca="false">Assumptions!$B$17*Assumptions!$B$18^7</f>
        <v>1192.09289550781</v>
      </c>
      <c r="F10" s="13" t="n">
        <f aca="false">Assumptions!$B$24</f>
        <v>320</v>
      </c>
      <c r="G10" s="20" t="n">
        <v>100000</v>
      </c>
      <c r="H10" s="20" t="n">
        <v>100000</v>
      </c>
      <c r="I10" s="13" t="n">
        <f aca="false">D10/C10*60</f>
        <v>2.52631090604342</v>
      </c>
      <c r="J10" s="13" t="n">
        <f aca="false">E10/C10*60</f>
        <v>19.9000550131513</v>
      </c>
      <c r="K10" s="13" t="n">
        <f aca="false">F10/C10*60</f>
        <v>5.34188034188034</v>
      </c>
      <c r="L10" s="13" t="n">
        <f aca="false">G10/C10*60</f>
        <v>1669.33760683761</v>
      </c>
      <c r="M10" s="13" t="n">
        <f aca="false">H10/C10*60</f>
        <v>1669.33760683761</v>
      </c>
      <c r="N10" s="14" t="str">
        <f aca="false">IF(SUMPRODUCT((I10:M10&gt;=Assumptions!$B$26)*(I10:M10&lt;=Assumptions!$B$27))&gt;0,"OK",IF(SUMPRODUCT((I10:M10&lt;Assumptions!$B$26))&gt;0,"TRIVIAL-ONLY","WALL"))</f>
        <v>OK</v>
      </c>
    </row>
    <row r="11" customFormat="false" ht="15" hidden="false" customHeight="false" outlineLevel="0" collapsed="false">
      <c r="A11" s="4" t="s">
        <v>75</v>
      </c>
      <c r="B11" s="16" t="n">
        <f aca="false">'Run Timeline'!G11</f>
        <v>7637.76</v>
      </c>
      <c r="C11" s="13" t="n">
        <f aca="false">B11*Assumptions!$B$14</f>
        <v>3818.88</v>
      </c>
      <c r="D11" s="13" t="n">
        <f aca="false">Assumptions!$B$15*Assumptions!$B$16^'Run Timeline'!D11</f>
        <v>204.303773496094</v>
      </c>
      <c r="E11" s="13" t="n">
        <f aca="false">Assumptions!$B$17*Assumptions!$B$18^8</f>
        <v>1490.11611938477</v>
      </c>
      <c r="F11" s="20" t="n">
        <v>100000</v>
      </c>
      <c r="G11" s="20" t="n">
        <v>100000</v>
      </c>
      <c r="H11" s="20" t="n">
        <v>100000</v>
      </c>
      <c r="I11" s="13" t="n">
        <f aca="false">D11/C11*60</f>
        <v>3.20990091591399</v>
      </c>
      <c r="J11" s="13" t="n">
        <f aca="false">E11/C11*60</f>
        <v>23.4118294272368</v>
      </c>
      <c r="K11" s="13" t="n">
        <f aca="false">F11/C11*60</f>
        <v>1571.14127702363</v>
      </c>
      <c r="L11" s="13" t="n">
        <f aca="false">G11/C11*60</f>
        <v>1571.14127702363</v>
      </c>
      <c r="M11" s="13" t="n">
        <f aca="false">H11/C11*60</f>
        <v>1571.14127702363</v>
      </c>
      <c r="N11" s="14" t="str">
        <f aca="false">IF(SUMPRODUCT((I11:M11&gt;=Assumptions!$B$26)*(I11:M11&lt;=Assumptions!$B$27))&gt;0,"OK",IF(SUMPRODUCT((I11:M11&lt;Assumptions!$B$26))&gt;0,"TRIVIAL-ONLY","WALL"))</f>
        <v>OK</v>
      </c>
    </row>
    <row r="13" customFormat="false" ht="15" hidden="false" customHeight="false" outlineLevel="0" collapsed="false">
      <c r="A13" s="21" t="s">
        <v>95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customFormat="false" ht="25.5" hidden="false" customHeight="true" outlineLevel="0" collapsed="false">
      <c r="A14" s="2" t="s">
        <v>96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</sheetData>
  <mergeCells count="2">
    <mergeCell ref="A13:N13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7" min="5" style="0" width="14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" t="s">
        <v>97</v>
      </c>
    </row>
    <row r="3" customFormat="false" ht="15" hidden="false" customHeight="false" outlineLevel="0" collapsed="false">
      <c r="A3" s="10" t="s">
        <v>98</v>
      </c>
      <c r="B3" s="10" t="s">
        <v>99</v>
      </c>
      <c r="C3" s="10" t="s">
        <v>100</v>
      </c>
      <c r="D3" s="10" t="s">
        <v>101</v>
      </c>
      <c r="E3" s="10" t="s">
        <v>102</v>
      </c>
      <c r="F3" s="10" t="s">
        <v>103</v>
      </c>
      <c r="G3" s="10" t="s">
        <v>104</v>
      </c>
      <c r="H3" s="10" t="s">
        <v>105</v>
      </c>
    </row>
    <row r="4" customFormat="false" ht="15" hidden="false" customHeight="false" outlineLevel="0" collapsed="false">
      <c r="A4" s="4" t="s">
        <v>106</v>
      </c>
      <c r="B4" s="13" t="n">
        <f aca="false">2*Assumptions!$B$5*Assumptions!$B$29*Assumptions!$B$30</f>
        <v>1248</v>
      </c>
      <c r="C4" s="13" t="n">
        <f aca="false">4*Assumptions!$B$5*Assumptions!$B$29*Assumptions!$B$30*Assumptions!$B$31</f>
        <v>1872</v>
      </c>
      <c r="D4" s="13" t="n">
        <f aca="false">MIN(B4,C4)</f>
        <v>1248</v>
      </c>
      <c r="E4" s="13" t="n">
        <f aca="false">D4*4</f>
        <v>4992</v>
      </c>
      <c r="F4" s="13" t="n">
        <f aca="false">D4*6</f>
        <v>7488</v>
      </c>
      <c r="G4" s="13" t="n">
        <f aca="false">D4*8</f>
        <v>9984</v>
      </c>
      <c r="H4" s="18"/>
    </row>
    <row r="5" customFormat="false" ht="15" hidden="false" customHeight="false" outlineLevel="0" collapsed="false">
      <c r="A5" s="4" t="s">
        <v>107</v>
      </c>
      <c r="B5" s="13" t="n">
        <f aca="false">3*Assumptions!$B$5*Assumptions!$B$29*Assumptions!$B$30</f>
        <v>1872</v>
      </c>
      <c r="C5" s="13" t="n">
        <f aca="false">4*Assumptions!$B$5*Assumptions!$B$29*Assumptions!$B$30*Assumptions!$B$31</f>
        <v>1872</v>
      </c>
      <c r="D5" s="13" t="n">
        <f aca="false">MIN(B5,C5)</f>
        <v>1872</v>
      </c>
      <c r="E5" s="13" t="n">
        <f aca="false">D5*4</f>
        <v>7488</v>
      </c>
      <c r="F5" s="13" t="n">
        <f aca="false">D5*6</f>
        <v>11232</v>
      </c>
      <c r="G5" s="13" t="n">
        <f aca="false">D5*8</f>
        <v>14976</v>
      </c>
      <c r="H5" s="18"/>
    </row>
    <row r="6" customFormat="false" ht="15" hidden="false" customHeight="false" outlineLevel="0" collapsed="false">
      <c r="A6" s="4" t="s">
        <v>108</v>
      </c>
      <c r="B6" s="13" t="n">
        <f aca="false">4*Assumptions!$B$5*Assumptions!$B$29*Assumptions!$B$30</f>
        <v>2496</v>
      </c>
      <c r="C6" s="13" t="n">
        <f aca="false">4*Assumptions!$B$5*Assumptions!$B$29*Assumptions!$B$30*Assumptions!$B$31</f>
        <v>1872</v>
      </c>
      <c r="D6" s="13" t="n">
        <f aca="false">MIN(B6,C6)</f>
        <v>1872</v>
      </c>
      <c r="E6" s="13" t="n">
        <f aca="false">D6*4</f>
        <v>7488</v>
      </c>
      <c r="F6" s="13" t="n">
        <f aca="false">D6*6</f>
        <v>11232</v>
      </c>
      <c r="G6" s="13" t="n">
        <f aca="false">D6*8</f>
        <v>14976</v>
      </c>
      <c r="H6" s="18" t="s">
        <v>109</v>
      </c>
    </row>
    <row r="7" customFormat="false" ht="15" hidden="false" customHeight="false" outlineLevel="0" collapsed="false">
      <c r="A7" s="4" t="s">
        <v>110</v>
      </c>
      <c r="B7" s="13" t="n">
        <f aca="false">5*Assumptions!$B$5*Assumptions!$B$29*Assumptions!$B$30</f>
        <v>3120</v>
      </c>
      <c r="C7" s="13" t="n">
        <f aca="false">4*Assumptions!$B$5*Assumptions!$B$29*Assumptions!$B$30*Assumptions!$B$31</f>
        <v>1872</v>
      </c>
      <c r="D7" s="13" t="n">
        <f aca="false">MIN(B7,C7)</f>
        <v>1872</v>
      </c>
      <c r="E7" s="13" t="n">
        <f aca="false">D7*4</f>
        <v>7488</v>
      </c>
      <c r="F7" s="13" t="n">
        <f aca="false">D7*6</f>
        <v>11232</v>
      </c>
      <c r="G7" s="13" t="n">
        <f aca="false">D7*8</f>
        <v>14976</v>
      </c>
      <c r="H7" s="18" t="s">
        <v>109</v>
      </c>
    </row>
    <row r="9" customFormat="false" ht="15" hidden="false" customHeight="false" outlineLevel="0" collapsed="false">
      <c r="A9" s="15" t="s">
        <v>111</v>
      </c>
    </row>
    <row r="10" customFormat="false" ht="15" hidden="false" customHeight="false" outlineLevel="0" collapsed="false">
      <c r="A10" s="4" t="s">
        <v>112</v>
      </c>
      <c r="B10" s="13" t="n">
        <f aca="false">4*Assumptions!$B$5*Assumptions!$B$29*Assumptions!$B$30</f>
        <v>2496</v>
      </c>
      <c r="C10" s="13" t="n">
        <f aca="false">2*4*Assumptions!$B$5*Assumptions!$B$29*Assumptions!$B$30*Assumptions!$B$31</f>
        <v>3744</v>
      </c>
      <c r="D10" s="13" t="n">
        <f aca="false">MIN(B10,C10)</f>
        <v>2496</v>
      </c>
      <c r="F10" s="13" t="n">
        <f aca="false">D10*6</f>
        <v>14976</v>
      </c>
      <c r="H10" s="18" t="s">
        <v>113</v>
      </c>
    </row>
    <row r="11" customFormat="false" ht="15" hidden="false" customHeight="false" outlineLevel="0" collapsed="false">
      <c r="A11" s="4" t="s">
        <v>114</v>
      </c>
      <c r="B11" s="13" t="n">
        <f aca="false">5*Assumptions!$B$5*Assumptions!$B$29*Assumptions!$B$30</f>
        <v>3120</v>
      </c>
      <c r="C11" s="13" t="n">
        <f aca="false">2*4*Assumptions!$B$5*Assumptions!$B$29*Assumptions!$B$30*Assumptions!$B$31</f>
        <v>3744</v>
      </c>
      <c r="D11" s="13" t="n">
        <f aca="false">MIN(B11,C11)</f>
        <v>3120</v>
      </c>
      <c r="F11" s="13" t="n">
        <f aca="false">D11*6</f>
        <v>18720</v>
      </c>
      <c r="H11" s="18" t="s">
        <v>113</v>
      </c>
    </row>
    <row r="13" customFormat="false" ht="15" hidden="false" customHeight="false" outlineLevel="0" collapsed="false">
      <c r="A13" s="15" t="s">
        <v>115</v>
      </c>
    </row>
    <row r="14" customFormat="false" ht="15" hidden="false" customHeight="false" outlineLevel="0" collapsed="false">
      <c r="A14" s="4" t="s">
        <v>116</v>
      </c>
      <c r="B14" s="13" t="n">
        <f aca="false">Assumptions!$B$21+Assumptions!$B$23+Assumptions!$B$17*Assumptions!$B$18^5</f>
        <v>1802.939453125</v>
      </c>
    </row>
    <row r="15" customFormat="false" ht="15" hidden="false" customHeight="false" outlineLevel="0" collapsed="false">
      <c r="A15" s="4" t="s">
        <v>117</v>
      </c>
      <c r="B15" s="22" t="n">
        <f aca="false">F5/B14</f>
        <v>6.22982650944367</v>
      </c>
      <c r="C15" s="1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119</v>
      </c>
    </row>
    <row r="3" customFormat="false" ht="42" hidden="false" customHeight="true" outlineLevel="0" collapsed="false">
      <c r="A3" s="14" t="s">
        <v>120</v>
      </c>
      <c r="B3" s="23" t="s">
        <v>121</v>
      </c>
    </row>
    <row r="4" customFormat="false" ht="42" hidden="false" customHeight="true" outlineLevel="0" collapsed="false">
      <c r="A4" s="14" t="s">
        <v>122</v>
      </c>
      <c r="B4" s="23" t="s">
        <v>123</v>
      </c>
    </row>
    <row r="5" customFormat="false" ht="42" hidden="false" customHeight="true" outlineLevel="0" collapsed="false">
      <c r="A5" s="14" t="s">
        <v>124</v>
      </c>
      <c r="B5" s="23" t="s">
        <v>125</v>
      </c>
    </row>
    <row r="6" customFormat="false" ht="42" hidden="false" customHeight="true" outlineLevel="0" collapsed="false">
      <c r="A6" s="14" t="s">
        <v>126</v>
      </c>
      <c r="B6" s="23" t="s">
        <v>127</v>
      </c>
    </row>
    <row r="7" customFormat="false" ht="42" hidden="false" customHeight="true" outlineLevel="0" collapsed="false">
      <c r="A7" s="14" t="s">
        <v>128</v>
      </c>
      <c r="B7" s="23" t="s">
        <v>129</v>
      </c>
    </row>
    <row r="8" customFormat="false" ht="42" hidden="false" customHeight="true" outlineLevel="0" collapsed="false">
      <c r="A8" s="14" t="s">
        <v>130</v>
      </c>
      <c r="B8" s="2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2026-07-18T11:46:42Z</dcterms:created>
  <dc:creator>openpyxl</dc:creator>
  <dc:description/>
  <dc:language>en-US</dc:language>
  <cp:lastModifiedBy/>
  <dcterms:modified xsi:type="dcterms:W3CDTF">2026-07-18T11:46:42Z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